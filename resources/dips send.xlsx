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16608" windowHeight="9432" activeTab="2"/>
  </bookViews>
  <sheets>
    <sheet name="Dip Chart 23500" sheetId="1" r:id="rId1"/>
    <sheet name="Dip Chart 50000" sheetId="3" r:id="rId2"/>
    <sheet name="dip" sheetId="2" r:id="rId3"/>
  </sheets>
  <calcPr calcId="144525"/>
</workbook>
</file>

<file path=xl/calcChain.xml><?xml version="1.0" encoding="utf-8"?>
<calcChain xmlns="http://schemas.openxmlformats.org/spreadsheetml/2006/main">
  <c r="M6" i="2" l="1"/>
  <c r="O6" i="2"/>
  <c r="Q6" i="2"/>
  <c r="S6" i="2"/>
  <c r="U6" i="2"/>
  <c r="M7" i="2"/>
  <c r="O7" i="2"/>
  <c r="Q7" i="2"/>
  <c r="S7" i="2"/>
  <c r="U7" i="2"/>
  <c r="M8" i="2"/>
  <c r="O8" i="2"/>
  <c r="Q8" i="2"/>
  <c r="S8" i="2"/>
  <c r="U8" i="2"/>
  <c r="M9" i="2"/>
  <c r="O9" i="2"/>
  <c r="Q9" i="2"/>
  <c r="S9" i="2"/>
  <c r="U9" i="2"/>
  <c r="D93" i="3" l="1"/>
  <c r="D94" i="3"/>
  <c r="D95" i="3"/>
  <c r="D96" i="3"/>
  <c r="D97" i="3"/>
  <c r="D98" i="3"/>
  <c r="D99" i="3"/>
  <c r="D100" i="3"/>
  <c r="D92" i="3"/>
  <c r="AB50" i="3" l="1"/>
  <c r="R41" i="1" l="1"/>
  <c r="B130" i="1" l="1"/>
  <c r="P13" i="3" l="1"/>
  <c r="P14" i="3"/>
  <c r="P15" i="3"/>
  <c r="P16" i="3"/>
  <c r="P17" i="3"/>
  <c r="P18" i="3"/>
  <c r="P19" i="3"/>
  <c r="P20" i="3"/>
  <c r="P12" i="3"/>
  <c r="B198" i="1" l="1"/>
  <c r="Y4" i="2" l="1"/>
  <c r="Y5" i="2"/>
  <c r="Y6" i="2"/>
  <c r="Y7" i="2"/>
  <c r="Y8" i="2"/>
  <c r="Y9" i="2"/>
  <c r="U4" i="2"/>
  <c r="U3" i="2"/>
  <c r="R38" i="1"/>
  <c r="W5" i="2"/>
  <c r="W6" i="2"/>
  <c r="W7" i="2"/>
  <c r="W8" i="2"/>
  <c r="W9" i="2"/>
  <c r="W4" i="2"/>
  <c r="AE4" i="2"/>
  <c r="AI4" i="2"/>
  <c r="AJ4" i="2"/>
  <c r="AE5" i="2"/>
  <c r="AG4" i="2"/>
  <c r="AM4" i="2" s="1"/>
  <c r="AF3" i="2"/>
  <c r="AE3" i="2"/>
  <c r="X5" i="2"/>
  <c r="X6" i="2"/>
  <c r="X7" i="2"/>
  <c r="X8" i="2"/>
  <c r="X9" i="2"/>
  <c r="V5" i="2"/>
  <c r="V6" i="2"/>
  <c r="V7" i="2"/>
  <c r="V8" i="2"/>
  <c r="V9" i="2"/>
  <c r="V4" i="2"/>
  <c r="Q5" i="2"/>
  <c r="O5" i="2"/>
  <c r="M5" i="2"/>
  <c r="Q4" i="2"/>
  <c r="O4" i="2"/>
  <c r="M4" i="2"/>
  <c r="Q3" i="2"/>
  <c r="O3" i="2"/>
  <c r="M3" i="2"/>
  <c r="AE6" i="2" l="1"/>
  <c r="AE7" i="2" s="1"/>
  <c r="AE8" i="2" s="1"/>
  <c r="AE9" i="2" s="1"/>
  <c r="AG5" i="2"/>
  <c r="AG6" i="2" s="1"/>
  <c r="AG7" i="2" s="1"/>
  <c r="AG8" i="2" s="1"/>
  <c r="AG9" i="2" s="1"/>
  <c r="AI5" i="2"/>
  <c r="AJ5" i="2" s="1"/>
  <c r="AI6" i="2"/>
  <c r="AJ6" i="2" s="1"/>
  <c r="S5" i="2"/>
  <c r="U5" i="2"/>
  <c r="AI9" i="2" l="1"/>
  <c r="AI8" i="2"/>
  <c r="AI7" i="2"/>
  <c r="AJ7" i="2" s="1"/>
  <c r="AJ9" i="2"/>
  <c r="AJ8" i="2" l="1"/>
  <c r="AF4" i="2" l="1"/>
  <c r="AK4" i="2" l="1"/>
  <c r="AF5" i="2"/>
  <c r="V126" i="3"/>
  <c r="V127" i="3"/>
  <c r="V128" i="3"/>
  <c r="V129" i="3"/>
  <c r="V130" i="3"/>
  <c r="V131" i="3"/>
  <c r="V132" i="3"/>
  <c r="V133" i="3"/>
  <c r="V125" i="3"/>
  <c r="AF6" i="2" l="1"/>
  <c r="AK5" i="2"/>
  <c r="X4" i="2"/>
  <c r="AH3" i="2"/>
  <c r="AH4" i="2" s="1"/>
  <c r="AH5" i="2" s="1"/>
  <c r="S4" i="2"/>
  <c r="S3" i="2"/>
  <c r="AH6" i="2" l="1"/>
  <c r="AO5" i="2"/>
  <c r="AO4" i="2"/>
  <c r="AF7" i="2"/>
  <c r="AK6" i="2"/>
  <c r="AL5" i="2"/>
  <c r="AG3" i="2"/>
  <c r="AK3" i="2"/>
  <c r="AI3" i="2"/>
  <c r="J83" i="1"/>
  <c r="AH7" i="2" l="1"/>
  <c r="AO6" i="2"/>
  <c r="AP6" i="2" s="1"/>
  <c r="AP5" i="2"/>
  <c r="AF8" i="2"/>
  <c r="AK7" i="2"/>
  <c r="AL6" i="2"/>
  <c r="AM3" i="2"/>
  <c r="AN4" i="2" s="1"/>
  <c r="AH8" i="2" l="1"/>
  <c r="AO7" i="2"/>
  <c r="AP7" i="2" s="1"/>
  <c r="AF9" i="2"/>
  <c r="AK8" i="2"/>
  <c r="AL7" i="2"/>
  <c r="AQ3" i="2"/>
  <c r="AQ4" i="2"/>
  <c r="AL4" i="2"/>
  <c r="AO3" i="2"/>
  <c r="AH9" i="2" l="1"/>
  <c r="AO8" i="2"/>
  <c r="AP8" i="2" s="1"/>
  <c r="AK9" i="2"/>
  <c r="AL8" i="2"/>
  <c r="AP4" i="2"/>
  <c r="D146" i="3"/>
  <c r="D147" i="3"/>
  <c r="D148" i="3"/>
  <c r="D149" i="3"/>
  <c r="D150" i="3"/>
  <c r="D151" i="3"/>
  <c r="D152" i="3"/>
  <c r="D153" i="3"/>
  <c r="D145" i="3"/>
  <c r="AO9" i="2" l="1"/>
  <c r="AP9" i="2" s="1"/>
  <c r="AL9" i="2"/>
  <c r="P85" i="1" l="1"/>
  <c r="X5" i="1" l="1"/>
  <c r="P43" i="3" l="1"/>
  <c r="P44" i="3"/>
  <c r="P45" i="3"/>
  <c r="P46" i="3"/>
  <c r="P47" i="3"/>
  <c r="P48" i="3"/>
  <c r="P49" i="3"/>
  <c r="P50" i="3"/>
  <c r="P42" i="3"/>
  <c r="D86" i="1" l="1"/>
  <c r="V20" i="1"/>
  <c r="B98" i="1" l="1"/>
  <c r="H182" i="1" l="1"/>
  <c r="L33" i="3" l="1"/>
  <c r="L34" i="3"/>
  <c r="L35" i="3"/>
  <c r="L36" i="3"/>
  <c r="L37" i="3"/>
  <c r="L38" i="3"/>
  <c r="L39" i="3"/>
  <c r="L40" i="3"/>
  <c r="L32" i="3"/>
  <c r="N33" i="3" l="1"/>
  <c r="N34" i="3"/>
  <c r="N35" i="3"/>
  <c r="N36" i="3"/>
  <c r="N37" i="3"/>
  <c r="N38" i="3"/>
  <c r="N39" i="3"/>
  <c r="N40" i="3"/>
  <c r="N32" i="3"/>
  <c r="N23" i="3" l="1"/>
  <c r="N24" i="3"/>
  <c r="N25" i="3"/>
  <c r="N26" i="3"/>
  <c r="N27" i="3"/>
  <c r="N28" i="3"/>
  <c r="N29" i="3"/>
  <c r="N30" i="3"/>
  <c r="N22" i="3"/>
  <c r="P53" i="1" l="1"/>
  <c r="L26" i="1"/>
  <c r="T63" i="3" l="1"/>
  <c r="T64" i="3"/>
  <c r="T65" i="3"/>
  <c r="T66" i="3"/>
  <c r="T67" i="3"/>
  <c r="T68" i="3"/>
  <c r="T69" i="3"/>
  <c r="T70" i="3"/>
  <c r="T62" i="3"/>
  <c r="V146" i="3" l="1"/>
  <c r="V147" i="3"/>
  <c r="V148" i="3"/>
  <c r="V149" i="3"/>
  <c r="V150" i="3"/>
  <c r="V151" i="3"/>
  <c r="V152" i="3"/>
  <c r="V153" i="3"/>
  <c r="V145" i="3"/>
  <c r="R3" i="3" l="1"/>
  <c r="R4" i="3"/>
  <c r="R5" i="3"/>
  <c r="R6" i="3"/>
  <c r="R7" i="3"/>
  <c r="R8" i="3"/>
  <c r="R9" i="3"/>
  <c r="R10" i="3"/>
  <c r="R2" i="3"/>
  <c r="F33" i="3" l="1"/>
  <c r="F34" i="3"/>
  <c r="F35" i="3"/>
  <c r="F36" i="3"/>
  <c r="F37" i="3"/>
  <c r="F38" i="3"/>
  <c r="F39" i="3"/>
  <c r="F40" i="3"/>
  <c r="F32" i="3"/>
  <c r="D3" i="3"/>
  <c r="D4" i="3"/>
  <c r="D5" i="3"/>
  <c r="D6" i="3"/>
  <c r="D7" i="3"/>
  <c r="D8" i="3"/>
  <c r="D9" i="3"/>
  <c r="D10" i="3"/>
  <c r="D2" i="3"/>
  <c r="V59" i="1"/>
  <c r="V60" i="1"/>
  <c r="V62" i="1"/>
  <c r="V63" i="1"/>
  <c r="P110" i="3" l="1"/>
  <c r="D16" i="1" l="1"/>
  <c r="R106" i="3" l="1"/>
  <c r="R107" i="3"/>
  <c r="R108" i="3"/>
  <c r="R109" i="3"/>
  <c r="R110" i="3"/>
  <c r="R111" i="3"/>
  <c r="R112" i="3"/>
  <c r="R113" i="3"/>
  <c r="R105" i="3"/>
  <c r="L10" i="1" l="1"/>
  <c r="AH73" i="3" l="1"/>
  <c r="AH74" i="3"/>
  <c r="AH75" i="3"/>
  <c r="AH76" i="3"/>
  <c r="AH77" i="3"/>
  <c r="AH78" i="3"/>
  <c r="AH79" i="3"/>
  <c r="AH80" i="3"/>
  <c r="AH72" i="3"/>
  <c r="T196" i="3"/>
  <c r="T197" i="3"/>
  <c r="T198" i="3"/>
  <c r="T199" i="3"/>
  <c r="T200" i="3"/>
  <c r="T201" i="3"/>
  <c r="T202" i="3"/>
  <c r="T203" i="3"/>
  <c r="T195" i="3"/>
  <c r="J140" i="1"/>
  <c r="R23" i="3" l="1"/>
  <c r="R24" i="3"/>
  <c r="R25" i="3"/>
  <c r="R26" i="3"/>
  <c r="R27" i="3"/>
  <c r="R28" i="3"/>
  <c r="R29" i="3"/>
  <c r="R30" i="3"/>
  <c r="R22" i="3"/>
  <c r="D73" i="3" l="1"/>
  <c r="D74" i="3"/>
  <c r="D75" i="3"/>
  <c r="D76" i="3"/>
  <c r="D77" i="3"/>
  <c r="D78" i="3"/>
  <c r="D79" i="3"/>
  <c r="D80" i="3"/>
  <c r="D72" i="3"/>
  <c r="X73" i="3" l="1"/>
  <c r="X74" i="3"/>
  <c r="X75" i="3"/>
  <c r="X76" i="3"/>
  <c r="X77" i="3"/>
  <c r="X78" i="3"/>
  <c r="X79" i="3"/>
  <c r="X80" i="3"/>
  <c r="X72" i="3"/>
  <c r="X106" i="3" l="1"/>
  <c r="X107" i="3"/>
  <c r="X108" i="3"/>
  <c r="X109" i="3"/>
  <c r="X110" i="3"/>
  <c r="X111" i="3"/>
  <c r="X112" i="3"/>
  <c r="X113" i="3"/>
  <c r="X105" i="3"/>
  <c r="N24" i="1" l="1"/>
  <c r="V201" i="1"/>
  <c r="X110" i="1"/>
  <c r="T31" i="1"/>
  <c r="P158" i="1" l="1"/>
  <c r="D43" i="1" l="1"/>
  <c r="D44" i="1"/>
  <c r="D45" i="1"/>
  <c r="D46" i="1"/>
  <c r="D47" i="1"/>
  <c r="D48" i="1"/>
  <c r="D49" i="1"/>
  <c r="D50" i="1"/>
  <c r="D42" i="1"/>
  <c r="D33" i="1"/>
  <c r="D34" i="1"/>
  <c r="D35" i="1"/>
  <c r="D36" i="1"/>
  <c r="D37" i="1"/>
  <c r="D38" i="1"/>
  <c r="D39" i="1"/>
  <c r="D40" i="1"/>
  <c r="D32" i="1"/>
  <c r="D41" i="1"/>
  <c r="F42" i="1"/>
  <c r="F38" i="1"/>
  <c r="F39" i="1"/>
  <c r="F40" i="1"/>
  <c r="F41" i="1"/>
  <c r="N49" i="3" l="1"/>
  <c r="N156" i="3" l="1"/>
  <c r="N157" i="3"/>
  <c r="N158" i="3"/>
  <c r="N159" i="3"/>
  <c r="N160" i="3"/>
  <c r="N161" i="3"/>
  <c r="N162" i="3"/>
  <c r="N163" i="3"/>
  <c r="N155" i="3"/>
  <c r="N146" i="3"/>
  <c r="N147" i="3"/>
  <c r="N148" i="3"/>
  <c r="N149" i="3"/>
  <c r="N150" i="3"/>
  <c r="N151" i="3"/>
  <c r="N152" i="3"/>
  <c r="N153" i="3"/>
  <c r="N145" i="3"/>
  <c r="R33" i="3"/>
  <c r="R34" i="3"/>
  <c r="R35" i="3"/>
  <c r="R36" i="3"/>
  <c r="R37" i="3"/>
  <c r="R38" i="3"/>
  <c r="R39" i="3"/>
  <c r="R40" i="3"/>
  <c r="R32" i="3"/>
  <c r="AB93" i="3"/>
  <c r="AB94" i="3"/>
  <c r="AB95" i="3"/>
  <c r="AB96" i="3"/>
  <c r="AB97" i="3"/>
  <c r="AB98" i="3"/>
  <c r="AB99" i="3"/>
  <c r="AB100" i="3"/>
  <c r="AB92" i="3"/>
  <c r="J3" i="3"/>
  <c r="J4" i="3"/>
  <c r="J5" i="3"/>
  <c r="J6" i="3"/>
  <c r="J7" i="3"/>
  <c r="J8" i="3"/>
  <c r="J9" i="3"/>
  <c r="J10" i="3"/>
  <c r="J2" i="3"/>
  <c r="P33" i="3"/>
  <c r="P34" i="3"/>
  <c r="P35" i="3"/>
  <c r="P36" i="3"/>
  <c r="P37" i="3"/>
  <c r="P38" i="3"/>
  <c r="P39" i="3"/>
  <c r="P40" i="3"/>
  <c r="P32" i="3"/>
  <c r="F126" i="3" l="1"/>
  <c r="F127" i="3"/>
  <c r="F128" i="3"/>
  <c r="F129" i="3"/>
  <c r="F130" i="3"/>
  <c r="F131" i="3"/>
  <c r="F132" i="3"/>
  <c r="F133" i="3"/>
  <c r="F125" i="3"/>
  <c r="P73" i="3"/>
  <c r="P74" i="3"/>
  <c r="P75" i="3"/>
  <c r="P76" i="3"/>
  <c r="P77" i="3"/>
  <c r="P78" i="3"/>
  <c r="P79" i="3"/>
  <c r="P80" i="3"/>
  <c r="P72" i="3"/>
  <c r="L23" i="3"/>
  <c r="L24" i="3"/>
  <c r="L25" i="3"/>
  <c r="L26" i="3"/>
  <c r="L27" i="3"/>
  <c r="L28" i="3"/>
  <c r="L29" i="3"/>
  <c r="L30" i="3"/>
  <c r="L22" i="3"/>
  <c r="AF3" i="3"/>
  <c r="AF4" i="3"/>
  <c r="AF5" i="3"/>
  <c r="AF6" i="3"/>
  <c r="AF7" i="3"/>
  <c r="AF8" i="3"/>
  <c r="AF9" i="3"/>
  <c r="AF10" i="3"/>
  <c r="AF2" i="3"/>
  <c r="L84" i="1"/>
  <c r="R93" i="3" l="1"/>
  <c r="R94" i="3"/>
  <c r="R95" i="3"/>
  <c r="R96" i="3"/>
  <c r="R97" i="3"/>
  <c r="R98" i="3"/>
  <c r="R99" i="3"/>
  <c r="R100" i="3"/>
  <c r="R92" i="3"/>
  <c r="R116" i="3" l="1"/>
  <c r="R117" i="3"/>
  <c r="R118" i="3"/>
  <c r="R119" i="3"/>
  <c r="R120" i="3"/>
  <c r="R121" i="3"/>
  <c r="R122" i="3"/>
  <c r="R123" i="3"/>
  <c r="R115" i="3"/>
  <c r="L186" i="3" l="1"/>
  <c r="L187" i="3"/>
  <c r="L188" i="3"/>
  <c r="L189" i="3"/>
  <c r="L190" i="3"/>
  <c r="L191" i="3"/>
  <c r="L192" i="3"/>
  <c r="L193" i="3"/>
  <c r="L185" i="3"/>
  <c r="L3" i="3" l="1"/>
  <c r="L4" i="3"/>
  <c r="L5" i="3"/>
  <c r="L6" i="3"/>
  <c r="L7" i="3"/>
  <c r="L8" i="3"/>
  <c r="L9" i="3"/>
  <c r="L10" i="3"/>
  <c r="L2" i="3"/>
  <c r="N64" i="1" l="1"/>
  <c r="J12" i="3" l="1"/>
  <c r="J13" i="3"/>
  <c r="J14" i="3"/>
  <c r="J15" i="3"/>
  <c r="J16" i="3"/>
  <c r="J17" i="3"/>
  <c r="J18" i="3"/>
  <c r="J19" i="3"/>
  <c r="J20" i="3"/>
  <c r="AB52" i="3" l="1"/>
  <c r="H167" i="3" l="1"/>
  <c r="AD54" i="3" l="1"/>
  <c r="V9" i="1" l="1"/>
  <c r="D185" i="3" l="1"/>
  <c r="Z53" i="3" l="1"/>
  <c r="Z54" i="3"/>
  <c r="Z55" i="3"/>
  <c r="Z56" i="3"/>
  <c r="Z57" i="3"/>
  <c r="Z58" i="3"/>
  <c r="Z59" i="3"/>
  <c r="Z60" i="3"/>
  <c r="Z52" i="3"/>
  <c r="H121" i="1" l="1"/>
  <c r="J21" i="1" l="1"/>
  <c r="N53" i="3" l="1"/>
  <c r="N54" i="3"/>
  <c r="N55" i="3"/>
  <c r="N56" i="3"/>
  <c r="N57" i="3"/>
  <c r="N58" i="3"/>
  <c r="N59" i="3"/>
  <c r="N60" i="3"/>
  <c r="N52" i="3"/>
  <c r="T76" i="1" l="1"/>
  <c r="L166" i="3" l="1"/>
  <c r="L167" i="3"/>
  <c r="L168" i="3"/>
  <c r="L169" i="3"/>
  <c r="L170" i="3"/>
  <c r="L171" i="3"/>
  <c r="L172" i="3"/>
  <c r="L173" i="3"/>
  <c r="L165" i="3"/>
  <c r="L196" i="3" l="1"/>
  <c r="L197" i="3"/>
  <c r="L198" i="3"/>
  <c r="L199" i="3"/>
  <c r="L200" i="3"/>
  <c r="L201" i="3"/>
  <c r="L202" i="3"/>
  <c r="L203" i="3"/>
  <c r="L195" i="3"/>
  <c r="V94" i="1" l="1"/>
  <c r="X63" i="3" l="1"/>
  <c r="X64" i="3"/>
  <c r="X65" i="3"/>
  <c r="X66" i="3"/>
  <c r="X67" i="3"/>
  <c r="X68" i="3"/>
  <c r="X69" i="3"/>
  <c r="X70" i="3"/>
  <c r="X62" i="3"/>
  <c r="AF63" i="3" l="1"/>
  <c r="AF64" i="3"/>
  <c r="AF65" i="3"/>
  <c r="AF66" i="3"/>
  <c r="AF67" i="3"/>
  <c r="AF68" i="3"/>
  <c r="AF69" i="3"/>
  <c r="AF70" i="3"/>
  <c r="AF62" i="3"/>
  <c r="D106" i="3"/>
  <c r="D107" i="3"/>
  <c r="D108" i="3"/>
  <c r="D109" i="3"/>
  <c r="D110" i="3"/>
  <c r="D111" i="3"/>
  <c r="D112" i="3"/>
  <c r="D113" i="3"/>
  <c r="D105" i="3"/>
  <c r="D116" i="3"/>
  <c r="Z196" i="3" l="1"/>
  <c r="Z197" i="3"/>
  <c r="Z198" i="3"/>
  <c r="Z199" i="3"/>
  <c r="Z200" i="3"/>
  <c r="Z201" i="3"/>
  <c r="Z202" i="3"/>
  <c r="Z203" i="3"/>
  <c r="Z195" i="3"/>
  <c r="D176" i="3" l="1"/>
  <c r="D177" i="3"/>
  <c r="D178" i="3"/>
  <c r="D179" i="3"/>
  <c r="D180" i="3"/>
  <c r="D181" i="3"/>
  <c r="D182" i="3"/>
  <c r="D183" i="3"/>
  <c r="D175" i="3"/>
  <c r="Z63" i="3" l="1"/>
  <c r="Z64" i="3"/>
  <c r="Z65" i="3"/>
  <c r="Z66" i="3"/>
  <c r="Z67" i="3"/>
  <c r="Z68" i="3"/>
  <c r="Z69" i="3"/>
  <c r="Z70" i="3"/>
  <c r="Z62" i="3"/>
  <c r="V144" i="1"/>
  <c r="J106" i="3" l="1"/>
  <c r="J107" i="3"/>
  <c r="J108" i="3"/>
  <c r="J109" i="3"/>
  <c r="J110" i="3"/>
  <c r="J111" i="3"/>
  <c r="J112" i="3"/>
  <c r="J113" i="3"/>
  <c r="J105" i="3"/>
  <c r="P126" i="3" l="1"/>
  <c r="P127" i="3"/>
  <c r="P128" i="3"/>
  <c r="P129" i="3"/>
  <c r="P130" i="3"/>
  <c r="P131" i="3"/>
  <c r="P132" i="3"/>
  <c r="P133" i="3"/>
  <c r="P125" i="3"/>
  <c r="V196" i="3"/>
  <c r="V197" i="3"/>
  <c r="V198" i="3"/>
  <c r="V199" i="3"/>
  <c r="V200" i="3"/>
  <c r="V201" i="3"/>
  <c r="V202" i="3"/>
  <c r="V203" i="3"/>
  <c r="V195" i="3"/>
  <c r="V138" i="1" l="1"/>
  <c r="L136" i="3" l="1"/>
  <c r="L137" i="3"/>
  <c r="L138" i="3"/>
  <c r="L139" i="3"/>
  <c r="L140" i="3"/>
  <c r="L141" i="3"/>
  <c r="L142" i="3"/>
  <c r="L143" i="3"/>
  <c r="L135" i="3"/>
  <c r="L133" i="3"/>
  <c r="N196" i="3" l="1"/>
  <c r="N197" i="3"/>
  <c r="N198" i="3"/>
  <c r="N199" i="3"/>
  <c r="N200" i="3"/>
  <c r="N201" i="3"/>
  <c r="N202" i="3"/>
  <c r="N203" i="3"/>
  <c r="N195" i="3"/>
  <c r="X146" i="3" l="1"/>
  <c r="X147" i="3"/>
  <c r="X148" i="3"/>
  <c r="X149" i="3"/>
  <c r="X150" i="3"/>
  <c r="X151" i="3"/>
  <c r="X152" i="3"/>
  <c r="X153" i="3"/>
  <c r="X145" i="3"/>
  <c r="X116" i="3" l="1"/>
  <c r="X117" i="3"/>
  <c r="X118" i="3"/>
  <c r="X119" i="3"/>
  <c r="X120" i="3"/>
  <c r="X121" i="3"/>
  <c r="X122" i="3"/>
  <c r="X123" i="3"/>
  <c r="X115" i="3"/>
  <c r="F136" i="3" l="1"/>
  <c r="F137" i="3"/>
  <c r="F138" i="3"/>
  <c r="F139" i="3"/>
  <c r="F140" i="3"/>
  <c r="F141" i="3"/>
  <c r="F142" i="3"/>
  <c r="F143" i="3"/>
  <c r="F135" i="3"/>
  <c r="P95" i="1"/>
  <c r="P96" i="1"/>
  <c r="AF73" i="3" l="1"/>
  <c r="AF74" i="3"/>
  <c r="AF75" i="3"/>
  <c r="AF76" i="3"/>
  <c r="AF77" i="3"/>
  <c r="AF78" i="3"/>
  <c r="AF79" i="3"/>
  <c r="AF80" i="3"/>
  <c r="AF72" i="3"/>
  <c r="N83" i="3" l="1"/>
  <c r="N84" i="3"/>
  <c r="N85" i="3"/>
  <c r="N86" i="3"/>
  <c r="N87" i="3"/>
  <c r="N88" i="3"/>
  <c r="N89" i="3"/>
  <c r="N90" i="3"/>
  <c r="N82" i="3"/>
  <c r="Z93" i="3"/>
  <c r="Z94" i="3"/>
  <c r="Z95" i="3"/>
  <c r="Z96" i="3"/>
  <c r="Z97" i="3"/>
  <c r="Z98" i="3"/>
  <c r="Z99" i="3"/>
  <c r="Z100" i="3"/>
  <c r="Z92" i="3"/>
  <c r="F186" i="3" l="1"/>
  <c r="F187" i="3"/>
  <c r="F188" i="3"/>
  <c r="F189" i="3"/>
  <c r="F190" i="3"/>
  <c r="F191" i="3"/>
  <c r="F192" i="3"/>
  <c r="F193" i="3"/>
  <c r="F185" i="3"/>
  <c r="Z73" i="3" l="1"/>
  <c r="Z74" i="3"/>
  <c r="Z75" i="3"/>
  <c r="Z76" i="3"/>
  <c r="Z77" i="3"/>
  <c r="Z78" i="3"/>
  <c r="Z79" i="3"/>
  <c r="Z80" i="3"/>
  <c r="Z72" i="3"/>
  <c r="J146" i="3" l="1"/>
  <c r="J147" i="3"/>
  <c r="J148" i="3"/>
  <c r="J149" i="3"/>
  <c r="J150" i="3"/>
  <c r="J151" i="3"/>
  <c r="J152" i="3"/>
  <c r="J153" i="3"/>
  <c r="J145" i="3"/>
  <c r="J33" i="3" l="1"/>
  <c r="J34" i="3"/>
  <c r="J35" i="3"/>
  <c r="J36" i="3"/>
  <c r="J37" i="3"/>
  <c r="J38" i="3"/>
  <c r="J39" i="3"/>
  <c r="J40" i="3"/>
  <c r="J32" i="3"/>
  <c r="AJ13" i="3" l="1"/>
  <c r="AJ14" i="3"/>
  <c r="AJ15" i="3"/>
  <c r="AJ16" i="3"/>
  <c r="AJ17" i="3"/>
  <c r="AJ18" i="3"/>
  <c r="AJ19" i="3"/>
  <c r="AJ20" i="3"/>
  <c r="AJ12" i="3"/>
  <c r="X33" i="3"/>
  <c r="X34" i="3"/>
  <c r="X35" i="3"/>
  <c r="X36" i="3"/>
  <c r="X37" i="3"/>
  <c r="X38" i="3"/>
  <c r="X39" i="3"/>
  <c r="X40" i="3"/>
  <c r="X32" i="3"/>
  <c r="H33" i="3" l="1"/>
  <c r="H34" i="3"/>
  <c r="H35" i="3"/>
  <c r="H36" i="3"/>
  <c r="H37" i="3"/>
  <c r="H38" i="3"/>
  <c r="H39" i="3"/>
  <c r="H40" i="3"/>
  <c r="H32" i="3"/>
  <c r="D117" i="3" l="1"/>
  <c r="X93" i="3" l="1"/>
  <c r="X94" i="3"/>
  <c r="X95" i="3"/>
  <c r="X96" i="3"/>
  <c r="X97" i="3"/>
  <c r="X98" i="3"/>
  <c r="X99" i="3"/>
  <c r="X100" i="3"/>
  <c r="X92" i="3"/>
  <c r="X176" i="3" l="1"/>
  <c r="X177" i="3"/>
  <c r="X178" i="3"/>
  <c r="X179" i="3"/>
  <c r="X180" i="3"/>
  <c r="X181" i="3"/>
  <c r="X182" i="3"/>
  <c r="X183" i="3"/>
  <c r="X175" i="3"/>
  <c r="N116" i="3" l="1"/>
  <c r="N117" i="3"/>
  <c r="N118" i="3"/>
  <c r="N119" i="3"/>
  <c r="N120" i="3"/>
  <c r="N121" i="3"/>
  <c r="N122" i="3"/>
  <c r="N123" i="3"/>
  <c r="N115" i="3"/>
  <c r="N186" i="3" l="1"/>
  <c r="N187" i="3"/>
  <c r="N188" i="3"/>
  <c r="N189" i="3"/>
  <c r="N190" i="3"/>
  <c r="N191" i="3"/>
  <c r="N192" i="3"/>
  <c r="N193" i="3"/>
  <c r="N185" i="3"/>
  <c r="N176" i="3" l="1"/>
  <c r="N177" i="3"/>
  <c r="N178" i="3"/>
  <c r="N179" i="3"/>
  <c r="N180" i="3"/>
  <c r="N181" i="3"/>
  <c r="N182" i="3"/>
  <c r="N183" i="3"/>
  <c r="N175" i="3"/>
  <c r="L116" i="3" l="1"/>
  <c r="L117" i="3"/>
  <c r="L118" i="3"/>
  <c r="L119" i="3"/>
  <c r="L120" i="3"/>
  <c r="L121" i="3"/>
  <c r="L122" i="3"/>
  <c r="L123" i="3"/>
  <c r="L115" i="3"/>
  <c r="B160" i="1"/>
  <c r="L38" i="1" l="1"/>
  <c r="L39" i="1"/>
  <c r="L40" i="1"/>
  <c r="L41" i="1"/>
  <c r="AJ100" i="3" l="1"/>
  <c r="F196" i="3" l="1"/>
  <c r="F197" i="3"/>
  <c r="F198" i="3"/>
  <c r="F199" i="3"/>
  <c r="F200" i="3"/>
  <c r="F201" i="3"/>
  <c r="F202" i="3"/>
  <c r="F203" i="3"/>
  <c r="F195" i="3"/>
  <c r="D196" i="3"/>
  <c r="D197" i="3"/>
  <c r="D198" i="3"/>
  <c r="D199" i="3"/>
  <c r="D200" i="3"/>
  <c r="D201" i="3"/>
  <c r="D202" i="3"/>
  <c r="D203" i="3"/>
  <c r="D195" i="3"/>
  <c r="AJ83" i="3" l="1"/>
  <c r="AJ84" i="3"/>
  <c r="AJ85" i="3"/>
  <c r="AJ86" i="3"/>
  <c r="AJ87" i="3"/>
  <c r="AJ88" i="3"/>
  <c r="AJ89" i="3"/>
  <c r="AJ90" i="3"/>
  <c r="AJ82" i="3"/>
  <c r="F153" i="1" l="1"/>
  <c r="V53" i="3" l="1"/>
  <c r="V54" i="3"/>
  <c r="V55" i="3"/>
  <c r="V56" i="3"/>
  <c r="V57" i="3"/>
  <c r="V58" i="3"/>
  <c r="V59" i="3"/>
  <c r="V60" i="3"/>
  <c r="V52" i="3"/>
  <c r="L100" i="1" l="1"/>
  <c r="P53" i="3" l="1"/>
  <c r="P54" i="3"/>
  <c r="P55" i="3"/>
  <c r="P56" i="3"/>
  <c r="P57" i="3"/>
  <c r="P58" i="3"/>
  <c r="P59" i="3"/>
  <c r="P60" i="3"/>
  <c r="P52" i="3"/>
  <c r="J63" i="3"/>
  <c r="J64" i="3"/>
  <c r="J65" i="3"/>
  <c r="J66" i="3"/>
  <c r="J67" i="3"/>
  <c r="J68" i="3"/>
  <c r="J69" i="3"/>
  <c r="J70" i="3"/>
  <c r="J62" i="3"/>
  <c r="P63" i="3" l="1"/>
  <c r="P64" i="3"/>
  <c r="P65" i="3"/>
  <c r="P66" i="3"/>
  <c r="P67" i="3"/>
  <c r="P68" i="3"/>
  <c r="P69" i="3"/>
  <c r="P70" i="3"/>
  <c r="P62" i="3"/>
  <c r="V3" i="3" l="1"/>
  <c r="V4" i="3"/>
  <c r="V5" i="3"/>
  <c r="V6" i="3"/>
  <c r="V7" i="3"/>
  <c r="V8" i="3"/>
  <c r="V9" i="3"/>
  <c r="V10" i="3"/>
  <c r="V2" i="3"/>
  <c r="J23" i="3" l="1"/>
  <c r="J24" i="3"/>
  <c r="J25" i="3"/>
  <c r="J26" i="3"/>
  <c r="J27" i="3"/>
  <c r="J28" i="3"/>
  <c r="J29" i="3"/>
  <c r="J30" i="3"/>
  <c r="J22" i="3"/>
  <c r="AB73" i="3" l="1"/>
  <c r="AB74" i="3"/>
  <c r="AB75" i="3"/>
  <c r="AB76" i="3"/>
  <c r="AB77" i="3"/>
  <c r="AB78" i="3"/>
  <c r="AB79" i="3"/>
  <c r="AB80" i="3"/>
  <c r="AB72" i="3"/>
  <c r="AB83" i="3" l="1"/>
  <c r="AB84" i="3"/>
  <c r="AB85" i="3"/>
  <c r="AB86" i="3"/>
  <c r="AB87" i="3"/>
  <c r="AB88" i="3"/>
  <c r="AB89" i="3"/>
  <c r="AB90" i="3"/>
  <c r="AB82" i="3"/>
  <c r="N63" i="3"/>
  <c r="N64" i="3"/>
  <c r="N65" i="3"/>
  <c r="N66" i="3"/>
  <c r="N67" i="3"/>
  <c r="N68" i="3"/>
  <c r="N69" i="3"/>
  <c r="N70" i="3"/>
  <c r="N62" i="3"/>
  <c r="T43" i="3" l="1"/>
  <c r="T44" i="3"/>
  <c r="T45" i="3"/>
  <c r="T46" i="3"/>
  <c r="T47" i="3"/>
  <c r="T48" i="3"/>
  <c r="T49" i="3"/>
  <c r="T50" i="3"/>
  <c r="T42" i="3"/>
  <c r="B196" i="3" l="1"/>
  <c r="B197" i="3"/>
  <c r="B198" i="3"/>
  <c r="B199" i="3"/>
  <c r="B200" i="3"/>
  <c r="B201" i="3"/>
  <c r="B202" i="3"/>
  <c r="B203" i="3"/>
  <c r="B195" i="3"/>
  <c r="AD73" i="3" l="1"/>
  <c r="AD74" i="3"/>
  <c r="AD75" i="3"/>
  <c r="AD76" i="3"/>
  <c r="AD77" i="3"/>
  <c r="AD78" i="3"/>
  <c r="AD79" i="3"/>
  <c r="AD80" i="3"/>
  <c r="AD72" i="3"/>
  <c r="T3" i="3"/>
  <c r="T4" i="3"/>
  <c r="T5" i="3"/>
  <c r="T6" i="3"/>
  <c r="T7" i="3"/>
  <c r="T8" i="3"/>
  <c r="T9" i="3"/>
  <c r="T10" i="3"/>
  <c r="T2" i="3"/>
  <c r="N3" i="3"/>
  <c r="N4" i="3"/>
  <c r="N5" i="3"/>
  <c r="N6" i="3"/>
  <c r="N7" i="3"/>
  <c r="N8" i="3"/>
  <c r="N9" i="3"/>
  <c r="N10" i="3"/>
  <c r="N2" i="3"/>
  <c r="AH43" i="3" l="1"/>
  <c r="AH44" i="3"/>
  <c r="AH45" i="3"/>
  <c r="AH46" i="3"/>
  <c r="AH47" i="3"/>
  <c r="AH48" i="3"/>
  <c r="AH49" i="3"/>
  <c r="AH50" i="3"/>
  <c r="AH42" i="3"/>
  <c r="AJ33" i="3"/>
  <c r="AJ34" i="3"/>
  <c r="AJ35" i="3"/>
  <c r="AJ36" i="3"/>
  <c r="AJ37" i="3"/>
  <c r="AJ38" i="3"/>
  <c r="AJ39" i="3"/>
  <c r="AJ40" i="3"/>
  <c r="AJ32" i="3"/>
  <c r="H116" i="3" l="1"/>
  <c r="H117" i="3"/>
  <c r="H118" i="3"/>
  <c r="H119" i="3"/>
  <c r="H120" i="3"/>
  <c r="H121" i="3"/>
  <c r="H122" i="3"/>
  <c r="H123" i="3"/>
  <c r="H115" i="3"/>
  <c r="B106" i="3"/>
  <c r="B107" i="3"/>
  <c r="B108" i="3"/>
  <c r="B109" i="3"/>
  <c r="B110" i="3"/>
  <c r="B111" i="3"/>
  <c r="B112" i="3"/>
  <c r="B113" i="3"/>
  <c r="B105" i="3"/>
  <c r="J13" i="1" l="1"/>
  <c r="J14" i="1"/>
  <c r="R13" i="3" l="1"/>
  <c r="R14" i="3"/>
  <c r="R15" i="3"/>
  <c r="R16" i="3"/>
  <c r="R17" i="3"/>
  <c r="R18" i="3"/>
  <c r="R19" i="3"/>
  <c r="R20" i="3"/>
  <c r="R12" i="3"/>
  <c r="H116" i="1" l="1"/>
  <c r="N93" i="3" l="1"/>
  <c r="N94" i="3"/>
  <c r="N95" i="3"/>
  <c r="N96" i="3"/>
  <c r="N97" i="3"/>
  <c r="N98" i="3"/>
  <c r="N99" i="3"/>
  <c r="N100" i="3"/>
  <c r="N92" i="3"/>
  <c r="AF33" i="3" l="1"/>
  <c r="AF34" i="3"/>
  <c r="AF35" i="3"/>
  <c r="AF36" i="3"/>
  <c r="AF37" i="3"/>
  <c r="AF38" i="3"/>
  <c r="AF39" i="3"/>
  <c r="AF40" i="3"/>
  <c r="AF32" i="3"/>
  <c r="H23" i="3" l="1"/>
  <c r="H24" i="3"/>
  <c r="H25" i="3"/>
  <c r="H26" i="3"/>
  <c r="H27" i="3"/>
  <c r="H28" i="3"/>
  <c r="H29" i="3"/>
  <c r="H30" i="3"/>
  <c r="H22" i="3"/>
  <c r="L43" i="3"/>
  <c r="L44" i="3"/>
  <c r="L45" i="3"/>
  <c r="L46" i="3"/>
  <c r="L47" i="3"/>
  <c r="L48" i="3"/>
  <c r="L49" i="3"/>
  <c r="L50" i="3"/>
  <c r="L42" i="3"/>
  <c r="N73" i="3" l="1"/>
  <c r="N74" i="3"/>
  <c r="N75" i="3"/>
  <c r="N76" i="3"/>
  <c r="N77" i="3"/>
  <c r="N78" i="3"/>
  <c r="N79" i="3"/>
  <c r="N80" i="3"/>
  <c r="N72" i="3"/>
  <c r="J83" i="3" l="1"/>
  <c r="J84" i="3"/>
  <c r="J85" i="3"/>
  <c r="J86" i="3"/>
  <c r="J87" i="3"/>
  <c r="J88" i="3"/>
  <c r="J89" i="3"/>
  <c r="J90" i="3"/>
  <c r="J82" i="3"/>
  <c r="J93" i="3" l="1"/>
  <c r="J94" i="3"/>
  <c r="J95" i="3"/>
  <c r="J96" i="3"/>
  <c r="J97" i="3"/>
  <c r="J98" i="3"/>
  <c r="J99" i="3"/>
  <c r="J100" i="3"/>
  <c r="J92" i="3"/>
  <c r="R63" i="3" l="1"/>
  <c r="R64" i="3"/>
  <c r="R65" i="3"/>
  <c r="R66" i="3"/>
  <c r="R67" i="3"/>
  <c r="R68" i="3"/>
  <c r="R69" i="3"/>
  <c r="R70" i="3"/>
  <c r="R62" i="3"/>
  <c r="T23" i="3" l="1"/>
  <c r="T24" i="3"/>
  <c r="T25" i="3"/>
  <c r="T26" i="3"/>
  <c r="T27" i="3"/>
  <c r="T28" i="3"/>
  <c r="T29" i="3"/>
  <c r="T30" i="3"/>
  <c r="T22" i="3"/>
  <c r="P3" i="3"/>
  <c r="P4" i="3"/>
  <c r="P5" i="3"/>
  <c r="P6" i="3"/>
  <c r="P7" i="3"/>
  <c r="P8" i="3"/>
  <c r="P9" i="3"/>
  <c r="P10" i="3"/>
  <c r="P2" i="3"/>
  <c r="AF53" i="3" l="1"/>
  <c r="AF54" i="3"/>
  <c r="AF55" i="3"/>
  <c r="AF56" i="3"/>
  <c r="AF57" i="3"/>
  <c r="AF58" i="3"/>
  <c r="AF59" i="3"/>
  <c r="AF60" i="3"/>
  <c r="AF52" i="3"/>
  <c r="AB33" i="3"/>
  <c r="AB34" i="3"/>
  <c r="AB35" i="3"/>
  <c r="AB36" i="3"/>
  <c r="AB37" i="3"/>
  <c r="AB38" i="3"/>
  <c r="AB39" i="3"/>
  <c r="AB40" i="3"/>
  <c r="AB32" i="3"/>
  <c r="P23" i="3" l="1"/>
  <c r="P24" i="3"/>
  <c r="P25" i="3"/>
  <c r="P26" i="3"/>
  <c r="P27" i="3"/>
  <c r="P28" i="3"/>
  <c r="P29" i="3"/>
  <c r="P30" i="3"/>
  <c r="P22" i="3"/>
  <c r="AF13" i="3"/>
  <c r="AF14" i="3"/>
  <c r="AF15" i="3"/>
  <c r="AF16" i="3"/>
  <c r="AF17" i="3"/>
  <c r="AF18" i="3"/>
  <c r="AF19" i="3"/>
  <c r="AF20" i="3"/>
  <c r="AF12" i="3"/>
  <c r="D186" i="3"/>
  <c r="D187" i="3"/>
  <c r="D188" i="3"/>
  <c r="D189" i="3"/>
  <c r="D190" i="3"/>
  <c r="D191" i="3"/>
  <c r="D192" i="3"/>
  <c r="D193" i="3"/>
  <c r="AH83" i="3"/>
  <c r="AH84" i="3"/>
  <c r="AH85" i="3"/>
  <c r="AH86" i="3"/>
  <c r="AH87" i="3"/>
  <c r="AH88" i="3"/>
  <c r="AH89" i="3"/>
  <c r="AH90" i="3"/>
  <c r="AH82" i="3"/>
  <c r="V93" i="3" l="1"/>
  <c r="V94" i="3"/>
  <c r="V95" i="3"/>
  <c r="V96" i="3"/>
  <c r="V97" i="3"/>
  <c r="V98" i="3"/>
  <c r="V99" i="3"/>
  <c r="V100" i="3"/>
  <c r="V92" i="3"/>
  <c r="V73" i="3" l="1"/>
  <c r="V74" i="3"/>
  <c r="V75" i="3"/>
  <c r="V76" i="3"/>
  <c r="V77" i="3"/>
  <c r="V78" i="3"/>
  <c r="V79" i="3"/>
  <c r="V80" i="3"/>
  <c r="V72" i="3"/>
  <c r="J9" i="1"/>
  <c r="D9" i="1"/>
  <c r="AH53" i="3" l="1"/>
  <c r="AH54" i="3"/>
  <c r="AH55" i="3"/>
  <c r="AH56" i="3"/>
  <c r="AH57" i="3"/>
  <c r="AH58" i="3"/>
  <c r="AH59" i="3"/>
  <c r="AH60" i="3"/>
  <c r="AH52" i="3"/>
  <c r="L53" i="3" l="1"/>
  <c r="L54" i="3"/>
  <c r="L55" i="3"/>
  <c r="L56" i="3"/>
  <c r="L57" i="3"/>
  <c r="L58" i="3"/>
  <c r="L59" i="3"/>
  <c r="L60" i="3"/>
  <c r="L52" i="3"/>
  <c r="T33" i="3"/>
  <c r="T34" i="3"/>
  <c r="T35" i="3"/>
  <c r="T36" i="3"/>
  <c r="T37" i="3"/>
  <c r="T38" i="3"/>
  <c r="T39" i="3"/>
  <c r="T40" i="3"/>
  <c r="T32" i="3"/>
  <c r="H62" i="1"/>
  <c r="J176" i="3" l="1"/>
  <c r="J177" i="3"/>
  <c r="J178" i="3"/>
  <c r="J179" i="3"/>
  <c r="J180" i="3"/>
  <c r="J181" i="3"/>
  <c r="J182" i="3"/>
  <c r="J183" i="3"/>
  <c r="J175" i="3"/>
  <c r="F132" i="1" l="1"/>
  <c r="P166" i="3" l="1"/>
  <c r="P167" i="3"/>
  <c r="P168" i="3"/>
  <c r="P169" i="3"/>
  <c r="P170" i="3"/>
  <c r="P171" i="3"/>
  <c r="P172" i="3"/>
  <c r="P173" i="3"/>
  <c r="R166" i="3"/>
  <c r="R167" i="3"/>
  <c r="R168" i="3"/>
  <c r="R169" i="3"/>
  <c r="R170" i="3"/>
  <c r="R171" i="3"/>
  <c r="R172" i="3"/>
  <c r="R173" i="3"/>
  <c r="R165" i="3"/>
  <c r="P165" i="3"/>
  <c r="N166" i="3" l="1"/>
  <c r="N167" i="3"/>
  <c r="N168" i="3"/>
  <c r="N169" i="3"/>
  <c r="N170" i="3"/>
  <c r="N171" i="3"/>
  <c r="N172" i="3"/>
  <c r="N173" i="3"/>
  <c r="N165" i="3"/>
  <c r="J166" i="3"/>
  <c r="J167" i="3"/>
  <c r="J168" i="3"/>
  <c r="J169" i="3"/>
  <c r="J170" i="3"/>
  <c r="J171" i="3"/>
  <c r="J172" i="3"/>
  <c r="J173" i="3"/>
  <c r="J165" i="3"/>
  <c r="AF23" i="3" l="1"/>
  <c r="AF24" i="3"/>
  <c r="AF25" i="3"/>
  <c r="AF26" i="3"/>
  <c r="AF27" i="3"/>
  <c r="AF28" i="3"/>
  <c r="AF29" i="3"/>
  <c r="AF30" i="3"/>
  <c r="AF22" i="3"/>
  <c r="H123" i="1" l="1"/>
  <c r="P186" i="3" l="1"/>
  <c r="P187" i="3"/>
  <c r="P188" i="3"/>
  <c r="P189" i="3"/>
  <c r="P190" i="3"/>
  <c r="P191" i="3"/>
  <c r="P192" i="3"/>
  <c r="P193" i="3"/>
  <c r="P185" i="3"/>
  <c r="T116" i="3" l="1"/>
  <c r="T117" i="3"/>
  <c r="T118" i="3"/>
  <c r="T119" i="3"/>
  <c r="T120" i="3"/>
  <c r="T121" i="3"/>
  <c r="T122" i="3"/>
  <c r="T123" i="3"/>
  <c r="T115" i="3"/>
  <c r="J196" i="3"/>
  <c r="J197" i="3"/>
  <c r="J198" i="3"/>
  <c r="J199" i="3"/>
  <c r="J200" i="3"/>
  <c r="J201" i="3"/>
  <c r="J202" i="3"/>
  <c r="J203" i="3"/>
  <c r="J195" i="3"/>
  <c r="P176" i="3" l="1"/>
  <c r="P177" i="3"/>
  <c r="P178" i="3"/>
  <c r="P179" i="3"/>
  <c r="P180" i="3"/>
  <c r="P181" i="3"/>
  <c r="P182" i="3"/>
  <c r="P183" i="3"/>
  <c r="P175" i="3"/>
  <c r="H106" i="3"/>
  <c r="H107" i="3"/>
  <c r="H108" i="3"/>
  <c r="H109" i="3"/>
  <c r="H110" i="3"/>
  <c r="H111" i="3"/>
  <c r="H112" i="3"/>
  <c r="H113" i="3"/>
  <c r="H105" i="3"/>
  <c r="X53" i="3" l="1"/>
  <c r="X54" i="3"/>
  <c r="X55" i="3"/>
  <c r="X56" i="3"/>
  <c r="X57" i="3"/>
  <c r="X58" i="3"/>
  <c r="X59" i="3"/>
  <c r="X60" i="3"/>
  <c r="X52" i="3"/>
  <c r="AH3" i="3"/>
  <c r="AH4" i="3"/>
  <c r="AH5" i="3"/>
  <c r="AH6" i="3"/>
  <c r="AH7" i="3"/>
  <c r="AH8" i="3"/>
  <c r="AH9" i="3"/>
  <c r="AH10" i="3"/>
  <c r="AH2" i="3"/>
  <c r="AJ23" i="3" l="1"/>
  <c r="AJ24" i="3"/>
  <c r="AJ25" i="3"/>
  <c r="AJ26" i="3"/>
  <c r="AJ27" i="3"/>
  <c r="AJ28" i="3"/>
  <c r="AJ29" i="3"/>
  <c r="AJ30" i="3"/>
  <c r="AJ22" i="3"/>
  <c r="F176" i="3"/>
  <c r="F177" i="3"/>
  <c r="F178" i="3"/>
  <c r="F179" i="3"/>
  <c r="F180" i="3"/>
  <c r="F181" i="3"/>
  <c r="F182" i="3"/>
  <c r="F183" i="3"/>
  <c r="F175" i="3"/>
  <c r="H80" i="1"/>
  <c r="N7" i="1" l="1"/>
  <c r="R136" i="3" l="1"/>
  <c r="R137" i="3"/>
  <c r="R138" i="3"/>
  <c r="R139" i="3"/>
  <c r="R140" i="3"/>
  <c r="R141" i="3"/>
  <c r="R142" i="3"/>
  <c r="R143" i="3"/>
  <c r="R135" i="3"/>
  <c r="R52" i="1" l="1"/>
  <c r="V176" i="3" l="1"/>
  <c r="V177" i="3"/>
  <c r="V178" i="3"/>
  <c r="V179" i="3"/>
  <c r="V180" i="3"/>
  <c r="V181" i="3"/>
  <c r="V182" i="3"/>
  <c r="V183" i="3"/>
  <c r="V175" i="3"/>
  <c r="N106" i="3"/>
  <c r="N107" i="3"/>
  <c r="N108" i="3"/>
  <c r="N109" i="3"/>
  <c r="N110" i="3"/>
  <c r="N111" i="3"/>
  <c r="N112" i="3"/>
  <c r="N113" i="3"/>
  <c r="N105" i="3"/>
  <c r="AH63" i="3" l="1"/>
  <c r="AH64" i="3"/>
  <c r="AH65" i="3"/>
  <c r="AH66" i="3"/>
  <c r="AH67" i="3"/>
  <c r="AH68" i="3"/>
  <c r="AH69" i="3"/>
  <c r="AH70" i="3"/>
  <c r="AH62" i="3"/>
  <c r="B136" i="3"/>
  <c r="B137" i="3"/>
  <c r="B138" i="3"/>
  <c r="B139" i="3"/>
  <c r="B140" i="3"/>
  <c r="B141" i="3"/>
  <c r="B142" i="3"/>
  <c r="B143" i="3"/>
  <c r="B135" i="3"/>
  <c r="D166" i="3"/>
  <c r="D167" i="3"/>
  <c r="D168" i="3"/>
  <c r="D169" i="3"/>
  <c r="D170" i="3"/>
  <c r="D171" i="3"/>
  <c r="D172" i="3"/>
  <c r="D173" i="3"/>
  <c r="D165" i="3"/>
  <c r="J156" i="3" l="1"/>
  <c r="J157" i="3"/>
  <c r="J158" i="3"/>
  <c r="J159" i="3"/>
  <c r="J160" i="3"/>
  <c r="J161" i="3"/>
  <c r="J162" i="3"/>
  <c r="J163" i="3"/>
  <c r="J155" i="3"/>
  <c r="R146" i="3"/>
  <c r="R147" i="3"/>
  <c r="R148" i="3"/>
  <c r="R149" i="3"/>
  <c r="R150" i="3"/>
  <c r="R151" i="3"/>
  <c r="R152" i="3"/>
  <c r="R153" i="3"/>
  <c r="R145" i="3"/>
  <c r="T176" i="3" l="1"/>
  <c r="T177" i="3"/>
  <c r="T178" i="3"/>
  <c r="T179" i="3"/>
  <c r="T180" i="3"/>
  <c r="T181" i="3"/>
  <c r="T182" i="3"/>
  <c r="T183" i="3"/>
  <c r="T175" i="3"/>
  <c r="L176" i="3"/>
  <c r="L177" i="3"/>
  <c r="L178" i="3"/>
  <c r="L179" i="3"/>
  <c r="L180" i="3"/>
  <c r="L181" i="3"/>
  <c r="L182" i="3"/>
  <c r="L183" i="3"/>
  <c r="L175" i="3"/>
  <c r="B186" i="3"/>
  <c r="B187" i="3"/>
  <c r="B188" i="3"/>
  <c r="B189" i="3"/>
  <c r="B190" i="3"/>
  <c r="B191" i="3"/>
  <c r="B192" i="3"/>
  <c r="B193" i="3"/>
  <c r="B185" i="3"/>
  <c r="AJ78" i="3" l="1"/>
  <c r="J126" i="3"/>
  <c r="J127" i="3"/>
  <c r="J128" i="3"/>
  <c r="J129" i="3"/>
  <c r="J130" i="3"/>
  <c r="J131" i="3"/>
  <c r="J132" i="3"/>
  <c r="J133" i="3"/>
  <c r="J125" i="3"/>
  <c r="N45" i="1" l="1"/>
  <c r="H156" i="3"/>
  <c r="AB13" i="3" l="1"/>
  <c r="AB14" i="3"/>
  <c r="AB15" i="3"/>
  <c r="AB16" i="3"/>
  <c r="AB17" i="3"/>
  <c r="AB18" i="3"/>
  <c r="AB19" i="3"/>
  <c r="AB20" i="3"/>
  <c r="AB12" i="3"/>
  <c r="L53" i="1" l="1"/>
  <c r="D53" i="3" l="1"/>
  <c r="D54" i="3"/>
  <c r="D55" i="3"/>
  <c r="D56" i="3"/>
  <c r="D57" i="3"/>
  <c r="D58" i="3"/>
  <c r="D59" i="3"/>
  <c r="D60" i="3"/>
  <c r="D52" i="3"/>
  <c r="X83" i="3"/>
  <c r="X84" i="3"/>
  <c r="X85" i="3"/>
  <c r="X86" i="3"/>
  <c r="X87" i="3"/>
  <c r="X88" i="3"/>
  <c r="X89" i="3"/>
  <c r="X90" i="3"/>
  <c r="X82" i="3"/>
  <c r="P83" i="3" l="1"/>
  <c r="P84" i="3"/>
  <c r="P85" i="3"/>
  <c r="P86" i="3"/>
  <c r="P87" i="3"/>
  <c r="P88" i="3"/>
  <c r="P89" i="3"/>
  <c r="P90" i="3"/>
  <c r="P82" i="3"/>
  <c r="AB47" i="3" l="1"/>
  <c r="AB43" i="3"/>
  <c r="AB44" i="3"/>
  <c r="AB45" i="3"/>
  <c r="AB46" i="3"/>
  <c r="AB48" i="3"/>
  <c r="AB49" i="3"/>
  <c r="AB42" i="3"/>
  <c r="AB23" i="3" l="1"/>
  <c r="AB24" i="3"/>
  <c r="AB25" i="3"/>
  <c r="AB26" i="3"/>
  <c r="AB27" i="3"/>
  <c r="AB28" i="3"/>
  <c r="AB29" i="3"/>
  <c r="AB30" i="3"/>
  <c r="AB22" i="3"/>
  <c r="T13" i="3" l="1"/>
  <c r="T14" i="3"/>
  <c r="T15" i="3"/>
  <c r="T16" i="3"/>
  <c r="T17" i="3"/>
  <c r="T18" i="3"/>
  <c r="T19" i="3"/>
  <c r="T20" i="3"/>
  <c r="T12" i="3"/>
  <c r="B166" i="3" l="1"/>
  <c r="B167" i="3"/>
  <c r="B168" i="3"/>
  <c r="B169" i="3"/>
  <c r="B170" i="3"/>
  <c r="B171" i="3"/>
  <c r="B172" i="3"/>
  <c r="B173" i="3"/>
  <c r="B165" i="3"/>
  <c r="AD23" i="3"/>
  <c r="AD24" i="3"/>
  <c r="AD25" i="3"/>
  <c r="AD26" i="3"/>
  <c r="AD27" i="3"/>
  <c r="AD28" i="3"/>
  <c r="AD29" i="3"/>
  <c r="AD30" i="3"/>
  <c r="AD22" i="3"/>
  <c r="V43" i="3" l="1"/>
  <c r="V44" i="3"/>
  <c r="V45" i="3"/>
  <c r="V46" i="3"/>
  <c r="V47" i="3"/>
  <c r="V48" i="3"/>
  <c r="V49" i="3"/>
  <c r="V50" i="3"/>
  <c r="V42" i="3"/>
  <c r="H166" i="3" l="1"/>
  <c r="H168" i="3"/>
  <c r="H169" i="3"/>
  <c r="H170" i="3"/>
  <c r="H171" i="3"/>
  <c r="H172" i="3"/>
  <c r="H173" i="3"/>
  <c r="H165" i="3"/>
  <c r="T83" i="3" l="1"/>
  <c r="T84" i="3"/>
  <c r="T85" i="3"/>
  <c r="T86" i="3"/>
  <c r="T87" i="3"/>
  <c r="T88" i="3"/>
  <c r="T89" i="3"/>
  <c r="T90" i="3"/>
  <c r="T82" i="3"/>
  <c r="L73" i="3" l="1"/>
  <c r="L74" i="3"/>
  <c r="L75" i="3"/>
  <c r="L76" i="3"/>
  <c r="L77" i="3"/>
  <c r="L78" i="3"/>
  <c r="L79" i="3"/>
  <c r="L80" i="3"/>
  <c r="L72" i="3"/>
  <c r="D156" i="3" l="1"/>
  <c r="D157" i="3"/>
  <c r="D158" i="3"/>
  <c r="D159" i="3"/>
  <c r="D160" i="3"/>
  <c r="D161" i="3"/>
  <c r="D162" i="3"/>
  <c r="D163" i="3"/>
  <c r="D155" i="3"/>
  <c r="T93" i="3"/>
  <c r="T94" i="3"/>
  <c r="T95" i="3"/>
  <c r="T96" i="3"/>
  <c r="T97" i="3"/>
  <c r="T98" i="3"/>
  <c r="T99" i="3"/>
  <c r="T100" i="3"/>
  <c r="T92" i="3"/>
  <c r="X43" i="3" l="1"/>
  <c r="X44" i="3"/>
  <c r="X45" i="3"/>
  <c r="X46" i="3"/>
  <c r="X47" i="3"/>
  <c r="X48" i="3"/>
  <c r="X49" i="3"/>
  <c r="X50" i="3"/>
  <c r="X42" i="3"/>
  <c r="B126" i="3"/>
  <c r="B127" i="3"/>
  <c r="B128" i="3"/>
  <c r="B129" i="3"/>
  <c r="B130" i="3"/>
  <c r="B131" i="3"/>
  <c r="B132" i="3"/>
  <c r="B133" i="3"/>
  <c r="B125" i="3"/>
  <c r="Z83" i="3" l="1"/>
  <c r="Z84" i="3"/>
  <c r="Z85" i="3"/>
  <c r="Z86" i="3"/>
  <c r="Z87" i="3"/>
  <c r="Z88" i="3"/>
  <c r="Z89" i="3"/>
  <c r="Z90" i="3"/>
  <c r="Z82" i="3"/>
  <c r="Z23" i="3" l="1"/>
  <c r="Z24" i="3"/>
  <c r="Z25" i="3"/>
  <c r="Z26" i="3"/>
  <c r="Z27" i="3"/>
  <c r="Z28" i="3"/>
  <c r="Z29" i="3"/>
  <c r="Z30" i="3"/>
  <c r="Z22" i="3"/>
  <c r="V23" i="3"/>
  <c r="V24" i="3"/>
  <c r="V25" i="3"/>
  <c r="V26" i="3"/>
  <c r="V27" i="3"/>
  <c r="V28" i="3"/>
  <c r="V29" i="3"/>
  <c r="V30" i="3"/>
  <c r="V22" i="3"/>
  <c r="P93" i="3"/>
  <c r="P94" i="3"/>
  <c r="P95" i="3"/>
  <c r="P96" i="3"/>
  <c r="P97" i="3"/>
  <c r="P98" i="3"/>
  <c r="P99" i="3"/>
  <c r="P100" i="3"/>
  <c r="P92" i="3"/>
  <c r="P49" i="1"/>
  <c r="D63" i="3" l="1"/>
  <c r="D64" i="3"/>
  <c r="D65" i="3"/>
  <c r="D66" i="3"/>
  <c r="D67" i="3"/>
  <c r="D68" i="3"/>
  <c r="D69" i="3"/>
  <c r="D70" i="3"/>
  <c r="D62" i="3"/>
  <c r="P90" i="1"/>
  <c r="AD3" i="3" l="1"/>
  <c r="AD4" i="3"/>
  <c r="AD5" i="3"/>
  <c r="AD6" i="3"/>
  <c r="AD7" i="3"/>
  <c r="AD8" i="3"/>
  <c r="AD9" i="3"/>
  <c r="AD10" i="3"/>
  <c r="AD2" i="3"/>
  <c r="AH23" i="3" l="1"/>
  <c r="AH24" i="3"/>
  <c r="AH25" i="3"/>
  <c r="AH26" i="3"/>
  <c r="AH27" i="3"/>
  <c r="AH28" i="3"/>
  <c r="AH29" i="3"/>
  <c r="AH30" i="3"/>
  <c r="AH22" i="3"/>
  <c r="AB63" i="3" l="1"/>
  <c r="AB64" i="3"/>
  <c r="AB65" i="3"/>
  <c r="AB66" i="3"/>
  <c r="AB67" i="3"/>
  <c r="AB68" i="3"/>
  <c r="AB69" i="3"/>
  <c r="AB70" i="3"/>
  <c r="AB62" i="3"/>
  <c r="L93" i="3" l="1"/>
  <c r="L94" i="3"/>
  <c r="L95" i="3"/>
  <c r="L96" i="3"/>
  <c r="L97" i="3"/>
  <c r="L98" i="3"/>
  <c r="L99" i="3"/>
  <c r="L100" i="3"/>
  <c r="L92" i="3"/>
  <c r="H196" i="3" l="1"/>
  <c r="H197" i="3"/>
  <c r="H198" i="3"/>
  <c r="H199" i="3"/>
  <c r="H200" i="3"/>
  <c r="H201" i="3"/>
  <c r="H202" i="3"/>
  <c r="H203" i="3"/>
  <c r="H195" i="3"/>
  <c r="AH33" i="3" l="1"/>
  <c r="AH34" i="3"/>
  <c r="AH35" i="3"/>
  <c r="AH36" i="3"/>
  <c r="AH37" i="3"/>
  <c r="AH38" i="3"/>
  <c r="AH39" i="3"/>
  <c r="AH40" i="3"/>
  <c r="AH32" i="3"/>
  <c r="AD53" i="3"/>
  <c r="AD55" i="3"/>
  <c r="AD56" i="3"/>
  <c r="AD57" i="3"/>
  <c r="AD58" i="3"/>
  <c r="AD59" i="3"/>
  <c r="AD60" i="3"/>
  <c r="AD52" i="3"/>
  <c r="AB53" i="3"/>
  <c r="AB54" i="3"/>
  <c r="AB55" i="3"/>
  <c r="AB56" i="3"/>
  <c r="AB57" i="3"/>
  <c r="AB58" i="3"/>
  <c r="AB59" i="3"/>
  <c r="AB60" i="3"/>
  <c r="AB3" i="3" l="1"/>
  <c r="AB4" i="3"/>
  <c r="AB5" i="3"/>
  <c r="AB6" i="3"/>
  <c r="AB7" i="3"/>
  <c r="AB8" i="3"/>
  <c r="AB9" i="3"/>
  <c r="AB10" i="3"/>
  <c r="AB2" i="3"/>
  <c r="F116" i="3"/>
  <c r="F117" i="3"/>
  <c r="F118" i="3"/>
  <c r="F119" i="3"/>
  <c r="F120" i="3"/>
  <c r="F121" i="3"/>
  <c r="F122" i="3"/>
  <c r="F123" i="3"/>
  <c r="F115" i="3"/>
  <c r="V156" i="3"/>
  <c r="V157" i="3"/>
  <c r="V158" i="3"/>
  <c r="V159" i="3"/>
  <c r="V160" i="3"/>
  <c r="V161" i="3"/>
  <c r="V162" i="3"/>
  <c r="V163" i="3"/>
  <c r="V155" i="3"/>
  <c r="L146" i="3" l="1"/>
  <c r="L147" i="3"/>
  <c r="L148" i="3"/>
  <c r="L149" i="3"/>
  <c r="L150" i="3"/>
  <c r="L151" i="3"/>
  <c r="L152" i="3"/>
  <c r="L153" i="3"/>
  <c r="L145" i="3"/>
  <c r="F156" i="3" l="1"/>
  <c r="F157" i="3"/>
  <c r="F158" i="3"/>
  <c r="F159" i="3"/>
  <c r="F160" i="3"/>
  <c r="F161" i="3"/>
  <c r="F162" i="3"/>
  <c r="F163" i="3"/>
  <c r="F155" i="3"/>
  <c r="AJ53" i="3" l="1"/>
  <c r="AJ54" i="3"/>
  <c r="AJ55" i="3"/>
  <c r="AJ56" i="3"/>
  <c r="AJ57" i="3"/>
  <c r="AJ58" i="3"/>
  <c r="AJ59" i="3"/>
  <c r="AJ60" i="3"/>
  <c r="AJ52" i="3"/>
  <c r="H43" i="3" l="1"/>
  <c r="H44" i="3"/>
  <c r="H45" i="3"/>
  <c r="H46" i="3"/>
  <c r="H47" i="3"/>
  <c r="H48" i="3"/>
  <c r="H49" i="3"/>
  <c r="H50" i="3"/>
  <c r="H42" i="3"/>
  <c r="R53" i="3"/>
  <c r="R54" i="3"/>
  <c r="R55" i="3"/>
  <c r="R56" i="3"/>
  <c r="R57" i="3"/>
  <c r="R58" i="3"/>
  <c r="R59" i="3"/>
  <c r="R60" i="3"/>
  <c r="R52" i="3"/>
  <c r="R83" i="3"/>
  <c r="R84" i="3"/>
  <c r="R85" i="3"/>
  <c r="R86" i="3"/>
  <c r="R87" i="3"/>
  <c r="R88" i="3"/>
  <c r="R89" i="3"/>
  <c r="R90" i="3"/>
  <c r="R82" i="3"/>
  <c r="AF93" i="3"/>
  <c r="AF94" i="3"/>
  <c r="AF95" i="3"/>
  <c r="AF96" i="3"/>
  <c r="AF97" i="3"/>
  <c r="AF98" i="3"/>
  <c r="AF99" i="3"/>
  <c r="AF100" i="3"/>
  <c r="AF92" i="3"/>
  <c r="N90" i="1" l="1"/>
  <c r="AM5" i="2" l="1"/>
  <c r="B146" i="3"/>
  <c r="B147" i="3"/>
  <c r="B148" i="3"/>
  <c r="B149" i="3"/>
  <c r="B150" i="3"/>
  <c r="B151" i="3"/>
  <c r="B152" i="3"/>
  <c r="B153" i="3"/>
  <c r="B145" i="3"/>
  <c r="AD43" i="3"/>
  <c r="AD44" i="3"/>
  <c r="AD45" i="3"/>
  <c r="AD46" i="3"/>
  <c r="AD47" i="3"/>
  <c r="AD48" i="3"/>
  <c r="AD49" i="3"/>
  <c r="AD50" i="3"/>
  <c r="AD42" i="3"/>
  <c r="AN5" i="2" l="1"/>
  <c r="AQ5" i="2"/>
  <c r="AM6" i="2"/>
  <c r="N136" i="3"/>
  <c r="N137" i="3"/>
  <c r="N138" i="3"/>
  <c r="N139" i="3"/>
  <c r="N140" i="3"/>
  <c r="N141" i="3"/>
  <c r="N142" i="3"/>
  <c r="N143" i="3"/>
  <c r="N135" i="3"/>
  <c r="X156" i="3"/>
  <c r="X157" i="3"/>
  <c r="X158" i="3"/>
  <c r="X159" i="3"/>
  <c r="X160" i="3"/>
  <c r="X161" i="3"/>
  <c r="X162" i="3"/>
  <c r="X163" i="3"/>
  <c r="X155" i="3"/>
  <c r="AN6" i="2" l="1"/>
  <c r="AQ6" i="2"/>
  <c r="AM7" i="2"/>
  <c r="AJ73" i="3"/>
  <c r="AJ74" i="3"/>
  <c r="AJ75" i="3"/>
  <c r="AJ76" i="3"/>
  <c r="AJ77" i="3"/>
  <c r="AJ79" i="3"/>
  <c r="AJ80" i="3"/>
  <c r="AJ72" i="3"/>
  <c r="AN7" i="2" l="1"/>
  <c r="AQ7" i="2"/>
  <c r="AM8" i="2"/>
  <c r="P106" i="3"/>
  <c r="P107" i="3"/>
  <c r="P108" i="3"/>
  <c r="P109" i="3"/>
  <c r="P111" i="3"/>
  <c r="P112" i="3"/>
  <c r="P113" i="3"/>
  <c r="P105" i="3"/>
  <c r="AN8" i="2" l="1"/>
  <c r="AQ8" i="2"/>
  <c r="AM9" i="2"/>
  <c r="J116" i="3"/>
  <c r="J117" i="3"/>
  <c r="J118" i="3"/>
  <c r="J119" i="3"/>
  <c r="J120" i="3"/>
  <c r="J121" i="3"/>
  <c r="J122" i="3"/>
  <c r="J123" i="3"/>
  <c r="J115" i="3"/>
  <c r="AN9" i="2" l="1"/>
  <c r="AQ9" i="2"/>
  <c r="AJ63" i="3"/>
  <c r="AJ64" i="3"/>
  <c r="AJ65" i="3"/>
  <c r="AJ66" i="3"/>
  <c r="AJ67" i="3"/>
  <c r="AJ68" i="3"/>
  <c r="AJ69" i="3"/>
  <c r="AJ70" i="3"/>
  <c r="AJ62" i="3"/>
  <c r="H93" i="3"/>
  <c r="H94" i="3"/>
  <c r="H95" i="3"/>
  <c r="H96" i="3"/>
  <c r="H97" i="3"/>
  <c r="H98" i="3"/>
  <c r="H99" i="3"/>
  <c r="H100" i="3"/>
  <c r="H92" i="3"/>
  <c r="AF90" i="3" l="1"/>
  <c r="AF83" i="3"/>
  <c r="AF84" i="3"/>
  <c r="AF85" i="3"/>
  <c r="AF86" i="3"/>
  <c r="AF87" i="3"/>
  <c r="AF88" i="3"/>
  <c r="AF89" i="3"/>
  <c r="AF82" i="3"/>
  <c r="F166" i="3"/>
  <c r="F167" i="3"/>
  <c r="F168" i="3"/>
  <c r="F169" i="3"/>
  <c r="F170" i="3"/>
  <c r="F171" i="3"/>
  <c r="F172" i="3"/>
  <c r="F173" i="3"/>
  <c r="F165" i="3"/>
  <c r="H176" i="3" l="1"/>
  <c r="H177" i="3"/>
  <c r="H178" i="3"/>
  <c r="H179" i="3"/>
  <c r="H180" i="3"/>
  <c r="H181" i="3"/>
  <c r="H182" i="3"/>
  <c r="H183" i="3"/>
  <c r="H175" i="3"/>
  <c r="T136" i="3"/>
  <c r="T137" i="3"/>
  <c r="T138" i="3"/>
  <c r="T139" i="3"/>
  <c r="T140" i="3"/>
  <c r="T141" i="3"/>
  <c r="T142" i="3"/>
  <c r="T143" i="3"/>
  <c r="T135" i="3"/>
  <c r="J136" i="3"/>
  <c r="J137" i="3"/>
  <c r="J138" i="3"/>
  <c r="J139" i="3"/>
  <c r="J140" i="3"/>
  <c r="J141" i="3"/>
  <c r="J142" i="3"/>
  <c r="J143" i="3"/>
  <c r="J135" i="3"/>
  <c r="P196" i="3" l="1"/>
  <c r="P197" i="3"/>
  <c r="P198" i="3"/>
  <c r="P199" i="3"/>
  <c r="P200" i="3"/>
  <c r="P201" i="3"/>
  <c r="P202" i="3"/>
  <c r="P203" i="3"/>
  <c r="P195" i="3"/>
  <c r="J138" i="1" l="1"/>
  <c r="J146" i="1"/>
  <c r="AH13" i="3" l="1"/>
  <c r="AH15" i="3"/>
  <c r="AH16" i="3"/>
  <c r="AH17" i="3"/>
  <c r="AH18" i="3"/>
  <c r="AH19" i="3"/>
  <c r="AH20" i="3"/>
  <c r="AH12" i="3"/>
  <c r="AH93" i="3" l="1"/>
  <c r="AH94" i="3"/>
  <c r="AH95" i="3"/>
  <c r="AH96" i="3"/>
  <c r="AH97" i="3"/>
  <c r="AH98" i="3"/>
  <c r="AH99" i="3"/>
  <c r="AH100" i="3"/>
  <c r="AH92" i="3"/>
  <c r="P116" i="3" l="1"/>
  <c r="P117" i="3"/>
  <c r="P118" i="3"/>
  <c r="P119" i="3"/>
  <c r="P120" i="3"/>
  <c r="P121" i="3"/>
  <c r="P122" i="3"/>
  <c r="P123" i="3"/>
  <c r="P115" i="3"/>
  <c r="T156" i="3" l="1"/>
  <c r="T157" i="3"/>
  <c r="T158" i="3"/>
  <c r="T159" i="3"/>
  <c r="T160" i="3"/>
  <c r="T161" i="3"/>
  <c r="T162" i="3"/>
  <c r="T163" i="3"/>
  <c r="T155" i="3"/>
  <c r="H186" i="3"/>
  <c r="H187" i="3"/>
  <c r="H188" i="3"/>
  <c r="H189" i="3"/>
  <c r="H190" i="3"/>
  <c r="H191" i="3"/>
  <c r="H192" i="3"/>
  <c r="H193" i="3"/>
  <c r="H185" i="3"/>
  <c r="V116" i="3" l="1"/>
  <c r="V117" i="3"/>
  <c r="V118" i="3"/>
  <c r="V119" i="3"/>
  <c r="V120" i="3"/>
  <c r="V121" i="3"/>
  <c r="V122" i="3"/>
  <c r="V123" i="3"/>
  <c r="V115" i="3"/>
  <c r="R176" i="3"/>
  <c r="R177" i="3"/>
  <c r="R178" i="3"/>
  <c r="R179" i="3"/>
  <c r="R180" i="3"/>
  <c r="R181" i="3"/>
  <c r="R182" i="3"/>
  <c r="R183" i="3"/>
  <c r="R175" i="3"/>
  <c r="P156" i="3" l="1"/>
  <c r="P157" i="3"/>
  <c r="P158" i="3"/>
  <c r="P159" i="3"/>
  <c r="P160" i="3"/>
  <c r="P161" i="3"/>
  <c r="P162" i="3"/>
  <c r="P163" i="3"/>
  <c r="P155" i="3"/>
  <c r="F146" i="3"/>
  <c r="F147" i="3"/>
  <c r="F148" i="3"/>
  <c r="F149" i="3"/>
  <c r="F150" i="3"/>
  <c r="F151" i="3"/>
  <c r="F152" i="3"/>
  <c r="F153" i="3"/>
  <c r="F145" i="3"/>
  <c r="H126" i="3"/>
  <c r="H127" i="3"/>
  <c r="H128" i="3"/>
  <c r="H129" i="3"/>
  <c r="H130" i="3"/>
  <c r="H131" i="3"/>
  <c r="H132" i="3"/>
  <c r="H133" i="3"/>
  <c r="H125" i="3"/>
  <c r="V166" i="3" l="1"/>
  <c r="V167" i="3"/>
  <c r="V168" i="3"/>
  <c r="V169" i="3"/>
  <c r="V170" i="3"/>
  <c r="V171" i="3"/>
  <c r="V172" i="3"/>
  <c r="V173" i="3"/>
  <c r="V165" i="3"/>
  <c r="H136" i="3" l="1"/>
  <c r="H137" i="3"/>
  <c r="H138" i="3"/>
  <c r="H139" i="3"/>
  <c r="H140" i="3"/>
  <c r="H141" i="3"/>
  <c r="H142" i="3"/>
  <c r="H143" i="3"/>
  <c r="H135" i="3"/>
  <c r="B156" i="3" l="1"/>
  <c r="B157" i="3"/>
  <c r="B158" i="3"/>
  <c r="B159" i="3"/>
  <c r="B160" i="3"/>
  <c r="B161" i="3"/>
  <c r="B162" i="3"/>
  <c r="B163" i="3"/>
  <c r="B155" i="3"/>
  <c r="AJ43" i="3"/>
  <c r="AJ44" i="3"/>
  <c r="AJ45" i="3"/>
  <c r="AJ46" i="3"/>
  <c r="AJ47" i="3"/>
  <c r="AJ48" i="3"/>
  <c r="AJ49" i="3"/>
  <c r="AJ50" i="3"/>
  <c r="AJ42" i="3"/>
  <c r="N13" i="3"/>
  <c r="N14" i="3"/>
  <c r="N15" i="3"/>
  <c r="N16" i="3"/>
  <c r="N17" i="3"/>
  <c r="N18" i="3"/>
  <c r="N19" i="3"/>
  <c r="N20" i="3"/>
  <c r="N12" i="3"/>
  <c r="N43" i="3"/>
  <c r="N44" i="3"/>
  <c r="N45" i="3"/>
  <c r="N46" i="3"/>
  <c r="N47" i="3"/>
  <c r="N48" i="3"/>
  <c r="N50" i="3"/>
  <c r="N42" i="3"/>
  <c r="V33" i="3"/>
  <c r="V34" i="3"/>
  <c r="V35" i="3"/>
  <c r="V36" i="3"/>
  <c r="V37" i="3"/>
  <c r="V38" i="3"/>
  <c r="V39" i="3"/>
  <c r="V40" i="3"/>
  <c r="V32" i="3"/>
  <c r="V83" i="3"/>
  <c r="V84" i="3"/>
  <c r="V85" i="3"/>
  <c r="V86" i="3"/>
  <c r="V87" i="3"/>
  <c r="V88" i="3"/>
  <c r="V89" i="3"/>
  <c r="V90" i="3"/>
  <c r="V82" i="3"/>
  <c r="V82" i="1"/>
  <c r="AF43" i="3"/>
  <c r="AF44" i="3"/>
  <c r="AF45" i="3"/>
  <c r="AF46" i="3"/>
  <c r="AF47" i="3"/>
  <c r="AF48" i="3"/>
  <c r="AF49" i="3"/>
  <c r="AF50" i="3"/>
  <c r="AF42" i="3"/>
  <c r="X3" i="3"/>
  <c r="X4" i="3"/>
  <c r="X5" i="3"/>
  <c r="X6" i="3"/>
  <c r="X7" i="3"/>
  <c r="X8" i="3"/>
  <c r="X9" i="3"/>
  <c r="X10" i="3"/>
  <c r="X2" i="3"/>
  <c r="R43" i="3"/>
  <c r="R44" i="3"/>
  <c r="R45" i="3"/>
  <c r="R46" i="3"/>
  <c r="R47" i="3"/>
  <c r="R48" i="3"/>
  <c r="R49" i="3"/>
  <c r="R50" i="3"/>
  <c r="R42" i="3"/>
  <c r="X13" i="3" l="1"/>
  <c r="X14" i="3"/>
  <c r="X15" i="3"/>
  <c r="X16" i="3"/>
  <c r="X17" i="3"/>
  <c r="X18" i="3"/>
  <c r="X19" i="3"/>
  <c r="X20" i="3"/>
  <c r="X12" i="3"/>
  <c r="P146" i="3"/>
  <c r="P147" i="3"/>
  <c r="P148" i="3"/>
  <c r="P149" i="3"/>
  <c r="P150" i="3"/>
  <c r="P151" i="3"/>
  <c r="P152" i="3"/>
  <c r="P153" i="3"/>
  <c r="P145" i="3"/>
  <c r="N138" i="1" l="1"/>
  <c r="D118" i="3" l="1"/>
  <c r="D119" i="3"/>
  <c r="D120" i="3"/>
  <c r="D121" i="3"/>
  <c r="D122" i="3"/>
  <c r="D123" i="3"/>
  <c r="D115" i="3"/>
  <c r="H83" i="3"/>
  <c r="H84" i="3"/>
  <c r="H85" i="3"/>
  <c r="H86" i="3"/>
  <c r="H87" i="3"/>
  <c r="H88" i="3"/>
  <c r="H89" i="3"/>
  <c r="H90" i="3"/>
  <c r="H82" i="3"/>
  <c r="Z43" i="3" l="1"/>
  <c r="Z44" i="3"/>
  <c r="Z45" i="3"/>
  <c r="Z46" i="3"/>
  <c r="Z47" i="3"/>
  <c r="Z48" i="3"/>
  <c r="Z50" i="3"/>
  <c r="Z42" i="3"/>
  <c r="B176" i="3"/>
  <c r="B177" i="3"/>
  <c r="B178" i="3"/>
  <c r="B179" i="3"/>
  <c r="B180" i="3"/>
  <c r="B181" i="3"/>
  <c r="B182" i="3"/>
  <c r="B183" i="3"/>
  <c r="B175" i="3"/>
  <c r="L126" i="3"/>
  <c r="L127" i="3"/>
  <c r="L128" i="3"/>
  <c r="L129" i="3"/>
  <c r="L130" i="3"/>
  <c r="L131" i="3"/>
  <c r="L132" i="3"/>
  <c r="L125" i="3"/>
  <c r="H157" i="3"/>
  <c r="H158" i="3"/>
  <c r="H159" i="3"/>
  <c r="H160" i="3"/>
  <c r="H161" i="3"/>
  <c r="H162" i="3"/>
  <c r="H163" i="3"/>
  <c r="H155" i="3"/>
  <c r="T106" i="3"/>
  <c r="T107" i="3"/>
  <c r="T108" i="3"/>
  <c r="T109" i="3"/>
  <c r="T110" i="3"/>
  <c r="T111" i="3"/>
  <c r="T112" i="3"/>
  <c r="T113" i="3"/>
  <c r="T105" i="3"/>
  <c r="X23" i="3" l="1"/>
  <c r="X24" i="3"/>
  <c r="X25" i="3"/>
  <c r="X26" i="3"/>
  <c r="X27" i="3"/>
  <c r="X28" i="3"/>
  <c r="X29" i="3"/>
  <c r="X30" i="3"/>
  <c r="X22" i="3"/>
  <c r="F106" i="3" l="1"/>
  <c r="F107" i="3"/>
  <c r="F108" i="3"/>
  <c r="F109" i="3"/>
  <c r="F110" i="3"/>
  <c r="F111" i="3"/>
  <c r="F112" i="3"/>
  <c r="F113" i="3"/>
  <c r="F105" i="3"/>
  <c r="H146" i="3"/>
  <c r="H147" i="3"/>
  <c r="H148" i="3"/>
  <c r="H149" i="3"/>
  <c r="H150" i="3"/>
  <c r="H151" i="3"/>
  <c r="H152" i="3"/>
  <c r="H153" i="3"/>
  <c r="H145" i="3"/>
  <c r="AJ3" i="3" l="1"/>
  <c r="AJ4" i="3"/>
  <c r="AJ5" i="3"/>
  <c r="AJ6" i="3"/>
  <c r="AJ7" i="3"/>
  <c r="AJ8" i="3"/>
  <c r="AJ9" i="3"/>
  <c r="AJ10" i="3"/>
  <c r="AJ2" i="3"/>
  <c r="Z13" i="3"/>
  <c r="Z14" i="3"/>
  <c r="Z15" i="3"/>
  <c r="Z16" i="3"/>
  <c r="Z17" i="3"/>
  <c r="Z18" i="3"/>
  <c r="Z19" i="3"/>
  <c r="Z20" i="3"/>
  <c r="Z12" i="3"/>
  <c r="L156" i="3" l="1"/>
  <c r="L157" i="3"/>
  <c r="L159" i="3"/>
  <c r="L160" i="3"/>
  <c r="L161" i="3"/>
  <c r="L162" i="3"/>
  <c r="L163" i="3"/>
  <c r="L155" i="3"/>
  <c r="L106" i="3" l="1"/>
  <c r="L107" i="3"/>
  <c r="L108" i="3"/>
  <c r="L109" i="3"/>
  <c r="L110" i="3"/>
  <c r="L111" i="3"/>
  <c r="L112" i="3"/>
  <c r="L113" i="3"/>
  <c r="L105" i="3"/>
  <c r="J186" i="3" l="1"/>
  <c r="J187" i="3"/>
  <c r="J188" i="3"/>
  <c r="J189" i="3"/>
  <c r="J190" i="3"/>
  <c r="J191" i="3"/>
  <c r="J192" i="3"/>
  <c r="J193" i="3"/>
  <c r="J185" i="3"/>
  <c r="AJ93" i="3" l="1"/>
  <c r="AJ94" i="3"/>
  <c r="AJ95" i="3"/>
  <c r="AJ96" i="3"/>
  <c r="AJ97" i="3"/>
  <c r="AJ98" i="3"/>
  <c r="AJ99" i="3"/>
  <c r="AJ92" i="3"/>
  <c r="D126" i="3"/>
  <c r="D127" i="3"/>
  <c r="D128" i="3"/>
  <c r="D129" i="3"/>
  <c r="D130" i="3"/>
  <c r="D131" i="3"/>
  <c r="D132" i="3"/>
  <c r="D133" i="3"/>
  <c r="D125" i="3"/>
  <c r="D136" i="3"/>
  <c r="T73" i="3"/>
  <c r="T74" i="3"/>
  <c r="T75" i="3"/>
  <c r="T76" i="3"/>
  <c r="T77" i="3"/>
  <c r="T78" i="3"/>
  <c r="T79" i="3"/>
  <c r="T80" i="3"/>
  <c r="T72" i="3"/>
  <c r="AD93" i="3"/>
  <c r="AD94" i="3"/>
  <c r="AD95" i="3"/>
  <c r="AD96" i="3"/>
  <c r="AD97" i="3"/>
  <c r="AD98" i="3"/>
  <c r="AD99" i="3"/>
  <c r="AD100" i="3"/>
  <c r="AD92" i="3"/>
  <c r="AD63" i="3"/>
  <c r="AD64" i="3"/>
  <c r="AD65" i="3"/>
  <c r="AD66" i="3"/>
  <c r="AD67" i="3"/>
  <c r="AD68" i="3"/>
  <c r="AD69" i="3"/>
  <c r="AD70" i="3"/>
  <c r="AD62" i="3"/>
  <c r="Z33" i="3"/>
  <c r="Z34" i="3"/>
  <c r="Z35" i="3"/>
  <c r="Z36" i="3"/>
  <c r="Z37" i="3"/>
  <c r="Z38" i="3"/>
  <c r="Z39" i="3"/>
  <c r="Z40" i="3"/>
  <c r="Z32" i="3"/>
  <c r="AD83" i="3"/>
  <c r="AD84" i="3"/>
  <c r="AD85" i="3"/>
  <c r="AD86" i="3"/>
  <c r="AD87" i="3"/>
  <c r="AD88" i="3"/>
  <c r="AD89" i="3"/>
  <c r="AD90" i="3"/>
  <c r="AD82" i="3"/>
  <c r="F114" i="1" l="1"/>
  <c r="D142" i="3" l="1"/>
  <c r="D143" i="3"/>
  <c r="D135" i="3"/>
  <c r="D137" i="3"/>
  <c r="D138" i="3"/>
  <c r="D139" i="3"/>
  <c r="D140" i="3"/>
  <c r="D141" i="3"/>
  <c r="Z3" i="3" l="1"/>
  <c r="Z4" i="3"/>
  <c r="Z5" i="3"/>
  <c r="Z6" i="3"/>
  <c r="Z7" i="3"/>
  <c r="Z8" i="3"/>
  <c r="Z9" i="3"/>
  <c r="Z10" i="3"/>
  <c r="Z2" i="3"/>
  <c r="V66" i="3" l="1"/>
  <c r="V67" i="3"/>
  <c r="V68" i="3"/>
  <c r="V69" i="3"/>
  <c r="V70" i="3"/>
  <c r="V62" i="3"/>
  <c r="V63" i="3"/>
  <c r="V64" i="3"/>
  <c r="V65" i="3"/>
  <c r="AD13" i="3"/>
  <c r="AD40" i="3"/>
  <c r="AD32" i="3"/>
  <c r="AD33" i="3"/>
  <c r="AD34" i="3"/>
  <c r="AD35" i="3"/>
  <c r="AD36" i="3"/>
  <c r="AD37" i="3"/>
  <c r="AD38" i="3"/>
  <c r="AD39" i="3"/>
  <c r="AD17" i="3"/>
  <c r="AD18" i="3"/>
  <c r="AD19" i="3"/>
  <c r="AD20" i="3"/>
  <c r="AD12" i="3"/>
  <c r="AD14" i="3"/>
  <c r="AD15" i="3"/>
  <c r="AD16" i="3"/>
  <c r="V14" i="3"/>
  <c r="V15" i="3"/>
  <c r="V16" i="3"/>
  <c r="V17" i="3"/>
  <c r="V18" i="3"/>
  <c r="V19" i="3"/>
  <c r="V20" i="3"/>
  <c r="V12" i="3"/>
  <c r="V13" i="3"/>
  <c r="B13" i="3"/>
  <c r="B14" i="3"/>
  <c r="B15" i="3"/>
  <c r="B16" i="3"/>
  <c r="B17" i="3"/>
  <c r="B18" i="3"/>
  <c r="B19" i="3"/>
  <c r="B20" i="3"/>
  <c r="B12" i="3"/>
  <c r="B3" i="3"/>
  <c r="B4" i="3"/>
  <c r="B5" i="3"/>
  <c r="B6" i="3"/>
  <c r="B7" i="3"/>
  <c r="B8" i="3"/>
  <c r="B9" i="3"/>
  <c r="B10" i="3"/>
  <c r="B2" i="3"/>
  <c r="H31" i="1" l="1"/>
  <c r="N27" i="1"/>
  <c r="N42" i="1"/>
  <c r="N38" i="1"/>
  <c r="N39" i="1"/>
  <c r="N40" i="1"/>
  <c r="F53" i="1"/>
  <c r="F54" i="1"/>
  <c r="F55" i="1"/>
  <c r="F56" i="1"/>
  <c r="F57" i="1"/>
  <c r="F58" i="1"/>
  <c r="F59" i="1"/>
  <c r="F60" i="1"/>
  <c r="F52" i="1"/>
  <c r="J34" i="1" l="1"/>
  <c r="L205" i="1"/>
  <c r="V204" i="1"/>
  <c r="T204" i="1"/>
  <c r="R204" i="1"/>
  <c r="P204" i="1"/>
  <c r="N204" i="1"/>
  <c r="L204" i="1"/>
  <c r="J204" i="1"/>
  <c r="H204" i="1"/>
  <c r="F204" i="1"/>
  <c r="D204" i="1"/>
  <c r="B204" i="1"/>
  <c r="V203" i="1"/>
  <c r="T203" i="1"/>
  <c r="R203" i="1"/>
  <c r="P203" i="1"/>
  <c r="N203" i="1"/>
  <c r="L203" i="1"/>
  <c r="J203" i="1"/>
  <c r="H203" i="1"/>
  <c r="F203" i="1"/>
  <c r="D203" i="1"/>
  <c r="B203" i="1"/>
  <c r="V202" i="1"/>
  <c r="T202" i="1"/>
  <c r="R202" i="1"/>
  <c r="P202" i="1"/>
  <c r="N202" i="1"/>
  <c r="L202" i="1"/>
  <c r="J202" i="1"/>
  <c r="H202" i="1"/>
  <c r="F202" i="1"/>
  <c r="D202" i="1"/>
  <c r="B202" i="1"/>
  <c r="T201" i="1"/>
  <c r="R201" i="1"/>
  <c r="P201" i="1"/>
  <c r="N201" i="1"/>
  <c r="L201" i="1"/>
  <c r="J201" i="1"/>
  <c r="H201" i="1"/>
  <c r="F201" i="1"/>
  <c r="D201" i="1"/>
  <c r="B201" i="1"/>
  <c r="V200" i="1"/>
  <c r="T200" i="1"/>
  <c r="R200" i="1"/>
  <c r="P200" i="1"/>
  <c r="N200" i="1"/>
  <c r="L200" i="1"/>
  <c r="J200" i="1"/>
  <c r="H200" i="1"/>
  <c r="F200" i="1"/>
  <c r="D200" i="1"/>
  <c r="B200" i="1"/>
  <c r="V199" i="1"/>
  <c r="T199" i="1"/>
  <c r="R199" i="1"/>
  <c r="P199" i="1"/>
  <c r="N199" i="1"/>
  <c r="L199" i="1"/>
  <c r="J199" i="1"/>
  <c r="H199" i="1"/>
  <c r="F199" i="1"/>
  <c r="D199" i="1"/>
  <c r="B199" i="1"/>
  <c r="V198" i="1"/>
  <c r="T198" i="1"/>
  <c r="R198" i="1"/>
  <c r="P198" i="1"/>
  <c r="N198" i="1"/>
  <c r="L198" i="1"/>
  <c r="J198" i="1"/>
  <c r="H198" i="1"/>
  <c r="F198" i="1"/>
  <c r="D198" i="1"/>
  <c r="V197" i="1"/>
  <c r="T197" i="1"/>
  <c r="R197" i="1"/>
  <c r="P197" i="1"/>
  <c r="N197" i="1"/>
  <c r="L197" i="1"/>
  <c r="J197" i="1"/>
  <c r="H197" i="1"/>
  <c r="F197" i="1"/>
  <c r="D197" i="1"/>
  <c r="B197" i="1"/>
  <c r="V196" i="1"/>
  <c r="T196" i="1"/>
  <c r="R196" i="1"/>
  <c r="P196" i="1"/>
  <c r="N196" i="1"/>
  <c r="L196" i="1"/>
  <c r="J196" i="1"/>
  <c r="H196" i="1"/>
  <c r="F196" i="1"/>
  <c r="D196" i="1"/>
  <c r="B196" i="1"/>
  <c r="L195" i="1"/>
  <c r="V194" i="1"/>
  <c r="T194" i="1"/>
  <c r="R194" i="1"/>
  <c r="P194" i="1"/>
  <c r="N194" i="1"/>
  <c r="L194" i="1"/>
  <c r="J194" i="1"/>
  <c r="H194" i="1"/>
  <c r="F194" i="1"/>
  <c r="D194" i="1"/>
  <c r="B194" i="1"/>
  <c r="V193" i="1"/>
  <c r="T193" i="1"/>
  <c r="R193" i="1"/>
  <c r="P193" i="1"/>
  <c r="N193" i="1"/>
  <c r="L193" i="1"/>
  <c r="J193" i="1"/>
  <c r="H193" i="1"/>
  <c r="F193" i="1"/>
  <c r="D193" i="1"/>
  <c r="B193" i="1"/>
  <c r="V192" i="1"/>
  <c r="T192" i="1"/>
  <c r="R192" i="1"/>
  <c r="P192" i="1"/>
  <c r="N192" i="1"/>
  <c r="L192" i="1"/>
  <c r="J192" i="1"/>
  <c r="H192" i="1"/>
  <c r="F192" i="1"/>
  <c r="D192" i="1"/>
  <c r="B192" i="1"/>
  <c r="V191" i="1"/>
  <c r="T191" i="1"/>
  <c r="R191" i="1"/>
  <c r="P191" i="1"/>
  <c r="N191" i="1"/>
  <c r="L191" i="1"/>
  <c r="J191" i="1"/>
  <c r="H191" i="1"/>
  <c r="F191" i="1"/>
  <c r="D191" i="1"/>
  <c r="B191" i="1"/>
  <c r="V190" i="1"/>
  <c r="T190" i="1"/>
  <c r="R190" i="1"/>
  <c r="P190" i="1"/>
  <c r="N190" i="1"/>
  <c r="L190" i="1"/>
  <c r="J190" i="1"/>
  <c r="H190" i="1"/>
  <c r="F190" i="1"/>
  <c r="D190" i="1"/>
  <c r="B190" i="1"/>
  <c r="V189" i="1"/>
  <c r="T189" i="1"/>
  <c r="R189" i="1"/>
  <c r="P189" i="1"/>
  <c r="N189" i="1"/>
  <c r="L189" i="1"/>
  <c r="J189" i="1"/>
  <c r="H189" i="1"/>
  <c r="F189" i="1"/>
  <c r="D189" i="1"/>
  <c r="B189" i="1"/>
  <c r="V188" i="1"/>
  <c r="T188" i="1"/>
  <c r="R188" i="1"/>
  <c r="P188" i="1"/>
  <c r="N188" i="1"/>
  <c r="L188" i="1"/>
  <c r="J188" i="1"/>
  <c r="H188" i="1"/>
  <c r="F188" i="1"/>
  <c r="D188" i="1"/>
  <c r="B188" i="1"/>
  <c r="V187" i="1"/>
  <c r="T187" i="1"/>
  <c r="R187" i="1"/>
  <c r="P187" i="1"/>
  <c r="N187" i="1"/>
  <c r="L187" i="1"/>
  <c r="J187" i="1"/>
  <c r="H187" i="1"/>
  <c r="F187" i="1"/>
  <c r="D187" i="1"/>
  <c r="B187" i="1"/>
  <c r="V186" i="1"/>
  <c r="T186" i="1"/>
  <c r="R186" i="1"/>
  <c r="P186" i="1"/>
  <c r="N186" i="1"/>
  <c r="L186" i="1"/>
  <c r="J186" i="1"/>
  <c r="H186" i="1"/>
  <c r="F186" i="1"/>
  <c r="D186" i="1"/>
  <c r="B186" i="1"/>
  <c r="L185" i="1"/>
  <c r="X184" i="1"/>
  <c r="V184" i="1"/>
  <c r="T184" i="1"/>
  <c r="R184" i="1"/>
  <c r="P184" i="1"/>
  <c r="N184" i="1"/>
  <c r="L184" i="1"/>
  <c r="J184" i="1"/>
  <c r="H184" i="1"/>
  <c r="F184" i="1"/>
  <c r="D184" i="1"/>
  <c r="B184" i="1"/>
  <c r="X183" i="1"/>
  <c r="V183" i="1"/>
  <c r="T183" i="1"/>
  <c r="R183" i="1"/>
  <c r="P183" i="1"/>
  <c r="N183" i="1"/>
  <c r="L183" i="1"/>
  <c r="J183" i="1"/>
  <c r="H183" i="1"/>
  <c r="F183" i="1"/>
  <c r="D183" i="1"/>
  <c r="B183" i="1"/>
  <c r="X182" i="1"/>
  <c r="V182" i="1"/>
  <c r="T182" i="1"/>
  <c r="R182" i="1"/>
  <c r="P182" i="1"/>
  <c r="N182" i="1"/>
  <c r="L182" i="1"/>
  <c r="J182" i="1"/>
  <c r="F182" i="1"/>
  <c r="D182" i="1"/>
  <c r="B182" i="1"/>
  <c r="X181" i="1"/>
  <c r="V181" i="1"/>
  <c r="T181" i="1"/>
  <c r="R181" i="1"/>
  <c r="P181" i="1"/>
  <c r="N181" i="1"/>
  <c r="L181" i="1"/>
  <c r="J181" i="1"/>
  <c r="H181" i="1"/>
  <c r="F181" i="1"/>
  <c r="D181" i="1"/>
  <c r="B181" i="1"/>
  <c r="X180" i="1"/>
  <c r="V180" i="1"/>
  <c r="T180" i="1"/>
  <c r="R180" i="1"/>
  <c r="P180" i="1"/>
  <c r="N180" i="1"/>
  <c r="L180" i="1"/>
  <c r="J180" i="1"/>
  <c r="H180" i="1"/>
  <c r="F180" i="1"/>
  <c r="D180" i="1"/>
  <c r="B180" i="1"/>
  <c r="X179" i="1"/>
  <c r="V179" i="1"/>
  <c r="T179" i="1"/>
  <c r="R179" i="1"/>
  <c r="P179" i="1"/>
  <c r="N179" i="1"/>
  <c r="L179" i="1"/>
  <c r="J179" i="1"/>
  <c r="H179" i="1"/>
  <c r="F179" i="1"/>
  <c r="B179" i="1"/>
  <c r="X178" i="1"/>
  <c r="V178" i="1"/>
  <c r="T178" i="1"/>
  <c r="R178" i="1"/>
  <c r="P178" i="1"/>
  <c r="N178" i="1"/>
  <c r="L178" i="1"/>
  <c r="J178" i="1"/>
  <c r="H178" i="1"/>
  <c r="F178" i="1"/>
  <c r="D178" i="1"/>
  <c r="B178" i="1"/>
  <c r="X177" i="1"/>
  <c r="V177" i="1"/>
  <c r="T177" i="1"/>
  <c r="R177" i="1"/>
  <c r="P177" i="1"/>
  <c r="N177" i="1"/>
  <c r="L177" i="1"/>
  <c r="J177" i="1"/>
  <c r="H177" i="1"/>
  <c r="F177" i="1"/>
  <c r="D177" i="1"/>
  <c r="B177" i="1"/>
  <c r="X176" i="1"/>
  <c r="V176" i="1"/>
  <c r="T176" i="1"/>
  <c r="R176" i="1"/>
  <c r="P176" i="1"/>
  <c r="N176" i="1"/>
  <c r="L176" i="1"/>
  <c r="J176" i="1"/>
  <c r="H176" i="1"/>
  <c r="F176" i="1"/>
  <c r="D176" i="1"/>
  <c r="B176" i="1"/>
  <c r="P175" i="1"/>
  <c r="X174" i="1"/>
  <c r="V174" i="1"/>
  <c r="T174" i="1"/>
  <c r="R174" i="1"/>
  <c r="P174" i="1"/>
  <c r="N174" i="1"/>
  <c r="L174" i="1"/>
  <c r="J174" i="1"/>
  <c r="H174" i="1"/>
  <c r="F174" i="1"/>
  <c r="D174" i="1"/>
  <c r="B174" i="1"/>
  <c r="X173" i="1"/>
  <c r="V173" i="1"/>
  <c r="T173" i="1"/>
  <c r="R173" i="1"/>
  <c r="P173" i="1"/>
  <c r="N173" i="1"/>
  <c r="L173" i="1"/>
  <c r="J173" i="1"/>
  <c r="H173" i="1"/>
  <c r="F173" i="1"/>
  <c r="D173" i="1"/>
  <c r="B173" i="1"/>
  <c r="X172" i="1"/>
  <c r="V172" i="1"/>
  <c r="T172" i="1"/>
  <c r="R172" i="1"/>
  <c r="P172" i="1"/>
  <c r="N172" i="1"/>
  <c r="L172" i="1"/>
  <c r="J172" i="1"/>
  <c r="H172" i="1"/>
  <c r="F172" i="1"/>
  <c r="D172" i="1"/>
  <c r="B172" i="1"/>
  <c r="X171" i="1"/>
  <c r="V171" i="1"/>
  <c r="T171" i="1"/>
  <c r="R171" i="1"/>
  <c r="P171" i="1"/>
  <c r="N171" i="1"/>
  <c r="L171" i="1"/>
  <c r="J171" i="1"/>
  <c r="H171" i="1"/>
  <c r="F171" i="1"/>
  <c r="D171" i="1"/>
  <c r="B171" i="1"/>
  <c r="X170" i="1"/>
  <c r="V170" i="1"/>
  <c r="T170" i="1"/>
  <c r="R170" i="1"/>
  <c r="P170" i="1"/>
  <c r="N170" i="1"/>
  <c r="L170" i="1"/>
  <c r="J170" i="1"/>
  <c r="H170" i="1"/>
  <c r="F170" i="1"/>
  <c r="D170" i="1"/>
  <c r="B170" i="1"/>
  <c r="X169" i="1"/>
  <c r="V169" i="1"/>
  <c r="T169" i="1"/>
  <c r="R169" i="1"/>
  <c r="P169" i="1"/>
  <c r="N169" i="1"/>
  <c r="L169" i="1"/>
  <c r="J169" i="1"/>
  <c r="H169" i="1"/>
  <c r="F169" i="1"/>
  <c r="D169" i="1"/>
  <c r="B169" i="1"/>
  <c r="X168" i="1"/>
  <c r="V168" i="1"/>
  <c r="T168" i="1"/>
  <c r="R168" i="1"/>
  <c r="P168" i="1"/>
  <c r="N168" i="1"/>
  <c r="L168" i="1"/>
  <c r="J168" i="1"/>
  <c r="H168" i="1"/>
  <c r="F168" i="1"/>
  <c r="D168" i="1"/>
  <c r="B168" i="1"/>
  <c r="X167" i="1"/>
  <c r="V167" i="1"/>
  <c r="T167" i="1"/>
  <c r="R167" i="1"/>
  <c r="P167" i="1"/>
  <c r="N167" i="1"/>
  <c r="L167" i="1"/>
  <c r="J167" i="1"/>
  <c r="H167" i="1"/>
  <c r="F167" i="1"/>
  <c r="D167" i="1"/>
  <c r="B167" i="1"/>
  <c r="X166" i="1"/>
  <c r="V166" i="1"/>
  <c r="T166" i="1"/>
  <c r="R166" i="1"/>
  <c r="P166" i="1"/>
  <c r="N166" i="1"/>
  <c r="L166" i="1"/>
  <c r="J166" i="1"/>
  <c r="H166" i="1"/>
  <c r="F166" i="1"/>
  <c r="D166" i="1"/>
  <c r="B166" i="1"/>
  <c r="V164" i="1"/>
  <c r="T164" i="1"/>
  <c r="R164" i="1"/>
  <c r="P164" i="1"/>
  <c r="N164" i="1"/>
  <c r="L164" i="1"/>
  <c r="J164" i="1"/>
  <c r="H164" i="1"/>
  <c r="F164" i="1"/>
  <c r="D164" i="1"/>
  <c r="B164" i="1"/>
  <c r="V163" i="1"/>
  <c r="T163" i="1"/>
  <c r="R163" i="1"/>
  <c r="P163" i="1"/>
  <c r="N163" i="1"/>
  <c r="L163" i="1"/>
  <c r="J163" i="1"/>
  <c r="H163" i="1"/>
  <c r="F163" i="1"/>
  <c r="D163" i="1"/>
  <c r="B163" i="1"/>
  <c r="V162" i="1"/>
  <c r="T162" i="1"/>
  <c r="R162" i="1"/>
  <c r="P162" i="1"/>
  <c r="N162" i="1"/>
  <c r="L162" i="1"/>
  <c r="J162" i="1"/>
  <c r="H162" i="1"/>
  <c r="F162" i="1"/>
  <c r="D162" i="1"/>
  <c r="B162" i="1"/>
  <c r="V161" i="1"/>
  <c r="T161" i="1"/>
  <c r="R161" i="1"/>
  <c r="P161" i="1"/>
  <c r="N161" i="1"/>
  <c r="L161" i="1"/>
  <c r="J161" i="1"/>
  <c r="H161" i="1"/>
  <c r="F161" i="1"/>
  <c r="D161" i="1"/>
  <c r="B161" i="1"/>
  <c r="V160" i="1"/>
  <c r="T160" i="1"/>
  <c r="R160" i="1"/>
  <c r="P160" i="1"/>
  <c r="N160" i="1"/>
  <c r="L160" i="1"/>
  <c r="J160" i="1"/>
  <c r="H160" i="1"/>
  <c r="F160" i="1"/>
  <c r="D160" i="1"/>
  <c r="V159" i="1"/>
  <c r="T159" i="1"/>
  <c r="R159" i="1"/>
  <c r="P159" i="1"/>
  <c r="N159" i="1"/>
  <c r="L159" i="1"/>
  <c r="J159" i="1"/>
  <c r="H159" i="1"/>
  <c r="F159" i="1"/>
  <c r="D159" i="1"/>
  <c r="B159" i="1"/>
  <c r="V158" i="1"/>
  <c r="T158" i="1"/>
  <c r="R158" i="1"/>
  <c r="N158" i="1"/>
  <c r="L158" i="1"/>
  <c r="J158" i="1"/>
  <c r="H158" i="1"/>
  <c r="F158" i="1"/>
  <c r="D158" i="1"/>
  <c r="B158" i="1"/>
  <c r="V157" i="1"/>
  <c r="T157" i="1"/>
  <c r="R157" i="1"/>
  <c r="P157" i="1"/>
  <c r="N157" i="1"/>
  <c r="J157" i="1"/>
  <c r="H157" i="1"/>
  <c r="F157" i="1"/>
  <c r="D157" i="1"/>
  <c r="B157" i="1"/>
  <c r="V156" i="1"/>
  <c r="T156" i="1"/>
  <c r="R156" i="1"/>
  <c r="P156" i="1"/>
  <c r="N156" i="1"/>
  <c r="J156" i="1"/>
  <c r="H156" i="1"/>
  <c r="F156" i="1"/>
  <c r="D156" i="1"/>
  <c r="B156" i="1"/>
  <c r="V154" i="1"/>
  <c r="T154" i="1"/>
  <c r="R154" i="1"/>
  <c r="P154" i="1"/>
  <c r="N154" i="1"/>
  <c r="L154" i="1"/>
  <c r="J154" i="1"/>
  <c r="H154" i="1"/>
  <c r="F154" i="1"/>
  <c r="D154" i="1"/>
  <c r="B154" i="1"/>
  <c r="V153" i="1"/>
  <c r="T153" i="1"/>
  <c r="R153" i="1"/>
  <c r="P153" i="1"/>
  <c r="N153" i="1"/>
  <c r="L153" i="1"/>
  <c r="J153" i="1"/>
  <c r="H153" i="1"/>
  <c r="D153" i="1"/>
  <c r="B153" i="1"/>
  <c r="V152" i="1"/>
  <c r="T152" i="1"/>
  <c r="R152" i="1"/>
  <c r="P152" i="1"/>
  <c r="N152" i="1"/>
  <c r="L152" i="1"/>
  <c r="J152" i="1"/>
  <c r="H152" i="1"/>
  <c r="F152" i="1"/>
  <c r="D152" i="1"/>
  <c r="B152" i="1"/>
  <c r="V151" i="1"/>
  <c r="T151" i="1"/>
  <c r="R151" i="1"/>
  <c r="P151" i="1"/>
  <c r="N151" i="1"/>
  <c r="L151" i="1"/>
  <c r="J151" i="1"/>
  <c r="H151" i="1"/>
  <c r="F151" i="1"/>
  <c r="D151" i="1"/>
  <c r="B151" i="1"/>
  <c r="V150" i="1"/>
  <c r="T150" i="1"/>
  <c r="R150" i="1"/>
  <c r="P150" i="1"/>
  <c r="N150" i="1"/>
  <c r="L150" i="1"/>
  <c r="J150" i="1"/>
  <c r="H150" i="1"/>
  <c r="F150" i="1"/>
  <c r="D150" i="1"/>
  <c r="B150" i="1"/>
  <c r="V149" i="1"/>
  <c r="T149" i="1"/>
  <c r="R149" i="1"/>
  <c r="P149" i="1"/>
  <c r="N149" i="1"/>
  <c r="L149" i="1"/>
  <c r="J149" i="1"/>
  <c r="H149" i="1"/>
  <c r="F149" i="1"/>
  <c r="D149" i="1"/>
  <c r="B149" i="1"/>
  <c r="V148" i="1"/>
  <c r="T148" i="1"/>
  <c r="R148" i="1"/>
  <c r="P148" i="1"/>
  <c r="N148" i="1"/>
  <c r="L148" i="1"/>
  <c r="J148" i="1"/>
  <c r="H148" i="1"/>
  <c r="F148" i="1"/>
  <c r="D148" i="1"/>
  <c r="B148" i="1"/>
  <c r="V147" i="1"/>
  <c r="T147" i="1"/>
  <c r="R147" i="1"/>
  <c r="P147" i="1"/>
  <c r="N147" i="1"/>
  <c r="L147" i="1"/>
  <c r="J147" i="1"/>
  <c r="H147" i="1"/>
  <c r="F147" i="1"/>
  <c r="D147" i="1"/>
  <c r="B147" i="1"/>
  <c r="V146" i="1"/>
  <c r="T146" i="1"/>
  <c r="R146" i="1"/>
  <c r="P146" i="1"/>
  <c r="N146" i="1"/>
  <c r="L146" i="1"/>
  <c r="H146" i="1"/>
  <c r="F146" i="1"/>
  <c r="D146" i="1"/>
  <c r="B146" i="1"/>
  <c r="X144" i="1"/>
  <c r="T144" i="1"/>
  <c r="R144" i="1"/>
  <c r="P144" i="1"/>
  <c r="N144" i="1"/>
  <c r="L144" i="1"/>
  <c r="J144" i="1"/>
  <c r="H144" i="1"/>
  <c r="F144" i="1"/>
  <c r="D144" i="1"/>
  <c r="B144" i="1"/>
  <c r="X143" i="1"/>
  <c r="V143" i="1"/>
  <c r="T143" i="1"/>
  <c r="R143" i="1"/>
  <c r="P143" i="1"/>
  <c r="N143" i="1"/>
  <c r="L143" i="1"/>
  <c r="J143" i="1"/>
  <c r="H143" i="1"/>
  <c r="F143" i="1"/>
  <c r="D143" i="1"/>
  <c r="B143" i="1"/>
  <c r="X142" i="1"/>
  <c r="V142" i="1"/>
  <c r="T142" i="1"/>
  <c r="R142" i="1"/>
  <c r="P142" i="1"/>
  <c r="N142" i="1"/>
  <c r="L142" i="1"/>
  <c r="J142" i="1"/>
  <c r="H142" i="1"/>
  <c r="F142" i="1"/>
  <c r="D142" i="1"/>
  <c r="B142" i="1"/>
  <c r="X141" i="1"/>
  <c r="V141" i="1"/>
  <c r="T141" i="1"/>
  <c r="R141" i="1"/>
  <c r="P141" i="1"/>
  <c r="N141" i="1"/>
  <c r="L141" i="1"/>
  <c r="J141" i="1"/>
  <c r="H141" i="1"/>
  <c r="F141" i="1"/>
  <c r="D141" i="1"/>
  <c r="B141" i="1"/>
  <c r="X140" i="1"/>
  <c r="V140" i="1"/>
  <c r="T140" i="1"/>
  <c r="R140" i="1"/>
  <c r="P140" i="1"/>
  <c r="N140" i="1"/>
  <c r="L140" i="1"/>
  <c r="H140" i="1"/>
  <c r="F140" i="1"/>
  <c r="D140" i="1"/>
  <c r="B140" i="1"/>
  <c r="X139" i="1"/>
  <c r="V139" i="1"/>
  <c r="T139" i="1"/>
  <c r="R139" i="1"/>
  <c r="P139" i="1"/>
  <c r="N139" i="1"/>
  <c r="L139" i="1"/>
  <c r="J139" i="1"/>
  <c r="H139" i="1"/>
  <c r="F139" i="1"/>
  <c r="D139" i="1"/>
  <c r="B139" i="1"/>
  <c r="X138" i="1"/>
  <c r="T138" i="1"/>
  <c r="R138" i="1"/>
  <c r="P138" i="1"/>
  <c r="L138" i="1"/>
  <c r="H138" i="1"/>
  <c r="F138" i="1"/>
  <c r="D138" i="1"/>
  <c r="B138" i="1"/>
  <c r="X137" i="1"/>
  <c r="V137" i="1"/>
  <c r="T137" i="1"/>
  <c r="R137" i="1"/>
  <c r="P137" i="1"/>
  <c r="N137" i="1"/>
  <c r="L137" i="1"/>
  <c r="J137" i="1"/>
  <c r="H137" i="1"/>
  <c r="F137" i="1"/>
  <c r="D137" i="1"/>
  <c r="B137" i="1"/>
  <c r="X136" i="1"/>
  <c r="V136" i="1"/>
  <c r="T136" i="1"/>
  <c r="R136" i="1"/>
  <c r="P136" i="1"/>
  <c r="N136" i="1"/>
  <c r="L136" i="1"/>
  <c r="J136" i="1"/>
  <c r="H136" i="1"/>
  <c r="F136" i="1"/>
  <c r="D136" i="1"/>
  <c r="B136" i="1"/>
  <c r="X134" i="1"/>
  <c r="V134" i="1"/>
  <c r="T134" i="1"/>
  <c r="R134" i="1"/>
  <c r="P134" i="1"/>
  <c r="N134" i="1"/>
  <c r="L134" i="1"/>
  <c r="H134" i="1"/>
  <c r="F134" i="1"/>
  <c r="D134" i="1"/>
  <c r="B134" i="1"/>
  <c r="X133" i="1"/>
  <c r="V133" i="1"/>
  <c r="T133" i="1"/>
  <c r="R133" i="1"/>
  <c r="P133" i="1"/>
  <c r="N133" i="1"/>
  <c r="L133" i="1"/>
  <c r="J133" i="1"/>
  <c r="H133" i="1"/>
  <c r="F133" i="1"/>
  <c r="D133" i="1"/>
  <c r="B133" i="1"/>
  <c r="X132" i="1"/>
  <c r="V132" i="1"/>
  <c r="T132" i="1"/>
  <c r="R132" i="1"/>
  <c r="P132" i="1"/>
  <c r="N132" i="1"/>
  <c r="L132" i="1"/>
  <c r="J132" i="1"/>
  <c r="H132" i="1"/>
  <c r="D132" i="1"/>
  <c r="B132" i="1"/>
  <c r="X131" i="1"/>
  <c r="V131" i="1"/>
  <c r="T131" i="1"/>
  <c r="R131" i="1"/>
  <c r="P131" i="1"/>
  <c r="N131" i="1"/>
  <c r="L131" i="1"/>
  <c r="J131" i="1"/>
  <c r="H131" i="1"/>
  <c r="F131" i="1"/>
  <c r="D131" i="1"/>
  <c r="B131" i="1"/>
  <c r="X130" i="1"/>
  <c r="V130" i="1"/>
  <c r="T130" i="1"/>
  <c r="R130" i="1"/>
  <c r="P130" i="1"/>
  <c r="N130" i="1"/>
  <c r="L130" i="1"/>
  <c r="J130" i="1"/>
  <c r="H130" i="1"/>
  <c r="F130" i="1"/>
  <c r="D130" i="1"/>
  <c r="X129" i="1"/>
  <c r="V129" i="1"/>
  <c r="T129" i="1"/>
  <c r="R129" i="1"/>
  <c r="P129" i="1"/>
  <c r="N129" i="1"/>
  <c r="L129" i="1"/>
  <c r="J129" i="1"/>
  <c r="H129" i="1"/>
  <c r="F129" i="1"/>
  <c r="D129" i="1"/>
  <c r="B129" i="1"/>
  <c r="X128" i="1"/>
  <c r="V128" i="1"/>
  <c r="T128" i="1"/>
  <c r="R128" i="1"/>
  <c r="P128" i="1"/>
  <c r="N128" i="1"/>
  <c r="L128" i="1"/>
  <c r="J128" i="1"/>
  <c r="H128" i="1"/>
  <c r="F128" i="1"/>
  <c r="D128" i="1"/>
  <c r="B128" i="1"/>
  <c r="X127" i="1"/>
  <c r="V127" i="1"/>
  <c r="T127" i="1"/>
  <c r="R127" i="1"/>
  <c r="P127" i="1"/>
  <c r="N127" i="1"/>
  <c r="L127" i="1"/>
  <c r="J127" i="1"/>
  <c r="H127" i="1"/>
  <c r="F127" i="1"/>
  <c r="D127" i="1"/>
  <c r="B127" i="1"/>
  <c r="X126" i="1"/>
  <c r="V126" i="1"/>
  <c r="T126" i="1"/>
  <c r="R126" i="1"/>
  <c r="P126" i="1"/>
  <c r="N126" i="1"/>
  <c r="L126" i="1"/>
  <c r="J126" i="1"/>
  <c r="H126" i="1"/>
  <c r="F126" i="1"/>
  <c r="D126" i="1"/>
  <c r="B126" i="1"/>
  <c r="X124" i="1"/>
  <c r="V124" i="1"/>
  <c r="T124" i="1"/>
  <c r="R124" i="1"/>
  <c r="P124" i="1"/>
  <c r="N124" i="1"/>
  <c r="J124" i="1"/>
  <c r="H124" i="1"/>
  <c r="F124" i="1"/>
  <c r="D124" i="1"/>
  <c r="B124" i="1"/>
  <c r="X123" i="1"/>
  <c r="V123" i="1"/>
  <c r="T123" i="1"/>
  <c r="R123" i="1"/>
  <c r="P123" i="1"/>
  <c r="N123" i="1"/>
  <c r="L123" i="1"/>
  <c r="J123" i="1"/>
  <c r="F123" i="1"/>
  <c r="D123" i="1"/>
  <c r="B123" i="1"/>
  <c r="X122" i="1"/>
  <c r="V122" i="1"/>
  <c r="T122" i="1"/>
  <c r="R122" i="1"/>
  <c r="P122" i="1"/>
  <c r="N122" i="1"/>
  <c r="L122" i="1"/>
  <c r="J122" i="1"/>
  <c r="H122" i="1"/>
  <c r="F122" i="1"/>
  <c r="D122" i="1"/>
  <c r="B122" i="1"/>
  <c r="X121" i="1"/>
  <c r="V121" i="1"/>
  <c r="T121" i="1"/>
  <c r="R121" i="1"/>
  <c r="P121" i="1"/>
  <c r="N121" i="1"/>
  <c r="L121" i="1"/>
  <c r="J121" i="1"/>
  <c r="F121" i="1"/>
  <c r="D121" i="1"/>
  <c r="B121" i="1"/>
  <c r="X120" i="1"/>
  <c r="V120" i="1"/>
  <c r="T120" i="1"/>
  <c r="R120" i="1"/>
  <c r="P120" i="1"/>
  <c r="N120" i="1"/>
  <c r="L120" i="1"/>
  <c r="J120" i="1"/>
  <c r="H120" i="1"/>
  <c r="F120" i="1"/>
  <c r="D120" i="1"/>
  <c r="B120" i="1"/>
  <c r="X119" i="1"/>
  <c r="V119" i="1"/>
  <c r="T119" i="1"/>
  <c r="R119" i="1"/>
  <c r="P119" i="1"/>
  <c r="N119" i="1"/>
  <c r="L119" i="1"/>
  <c r="J119" i="1"/>
  <c r="H119" i="1"/>
  <c r="F119" i="1"/>
  <c r="D119" i="1"/>
  <c r="B119" i="1"/>
  <c r="X118" i="1"/>
  <c r="V118" i="1"/>
  <c r="T118" i="1"/>
  <c r="R118" i="1"/>
  <c r="P118" i="1"/>
  <c r="N118" i="1"/>
  <c r="L118" i="1"/>
  <c r="J118" i="1"/>
  <c r="H118" i="1"/>
  <c r="F118" i="1"/>
  <c r="D118" i="1"/>
  <c r="B118" i="1"/>
  <c r="X117" i="1"/>
  <c r="V117" i="1"/>
  <c r="T117" i="1"/>
  <c r="R117" i="1"/>
  <c r="P117" i="1"/>
  <c r="N117" i="1"/>
  <c r="L117" i="1"/>
  <c r="J117" i="1"/>
  <c r="H117" i="1"/>
  <c r="F117" i="1"/>
  <c r="D117" i="1"/>
  <c r="B117" i="1"/>
  <c r="X116" i="1"/>
  <c r="V116" i="1"/>
  <c r="T116" i="1"/>
  <c r="R116" i="1"/>
  <c r="P116" i="1"/>
  <c r="N116" i="1"/>
  <c r="L116" i="1"/>
  <c r="J116" i="1"/>
  <c r="F116" i="1"/>
  <c r="D116" i="1"/>
  <c r="B116" i="1"/>
  <c r="X114" i="1"/>
  <c r="V114" i="1"/>
  <c r="T114" i="1"/>
  <c r="R114" i="1"/>
  <c r="P114" i="1"/>
  <c r="N114" i="1"/>
  <c r="L114" i="1"/>
  <c r="J114" i="1"/>
  <c r="H114" i="1"/>
  <c r="D114" i="1"/>
  <c r="B114" i="1"/>
  <c r="X113" i="1"/>
  <c r="V113" i="1"/>
  <c r="T113" i="1"/>
  <c r="R113" i="1"/>
  <c r="P113" i="1"/>
  <c r="N113" i="1"/>
  <c r="L113" i="1"/>
  <c r="J113" i="1"/>
  <c r="H113" i="1"/>
  <c r="D113" i="1"/>
  <c r="B113" i="1"/>
  <c r="X112" i="1"/>
  <c r="V112" i="1"/>
  <c r="T112" i="1"/>
  <c r="R112" i="1"/>
  <c r="P112" i="1"/>
  <c r="N112" i="1"/>
  <c r="L112" i="1"/>
  <c r="J112" i="1"/>
  <c r="H112" i="1"/>
  <c r="F112" i="1"/>
  <c r="D112" i="1"/>
  <c r="B112" i="1"/>
  <c r="X111" i="1"/>
  <c r="V111" i="1"/>
  <c r="T111" i="1"/>
  <c r="R111" i="1"/>
  <c r="P111" i="1"/>
  <c r="N111" i="1"/>
  <c r="L111" i="1"/>
  <c r="J111" i="1"/>
  <c r="H111" i="1"/>
  <c r="F111" i="1"/>
  <c r="D111" i="1"/>
  <c r="B111" i="1"/>
  <c r="V110" i="1"/>
  <c r="T110" i="1"/>
  <c r="R110" i="1"/>
  <c r="P110" i="1"/>
  <c r="N110" i="1"/>
  <c r="L110" i="1"/>
  <c r="J110" i="1"/>
  <c r="H110" i="1"/>
  <c r="F110" i="1"/>
  <c r="D110" i="1"/>
  <c r="B110" i="1"/>
  <c r="X109" i="1"/>
  <c r="V109" i="1"/>
  <c r="T109" i="1"/>
  <c r="R109" i="1"/>
  <c r="P109" i="1"/>
  <c r="N109" i="1"/>
  <c r="L109" i="1"/>
  <c r="J109" i="1"/>
  <c r="H109" i="1"/>
  <c r="F109" i="1"/>
  <c r="D109" i="1"/>
  <c r="B109" i="1"/>
  <c r="X108" i="1"/>
  <c r="V108" i="1"/>
  <c r="T108" i="1"/>
  <c r="R108" i="1"/>
  <c r="P108" i="1"/>
  <c r="N108" i="1"/>
  <c r="L108" i="1"/>
  <c r="J108" i="1"/>
  <c r="H108" i="1"/>
  <c r="F108" i="1"/>
  <c r="D108" i="1"/>
  <c r="B108" i="1"/>
  <c r="X107" i="1"/>
  <c r="V107" i="1"/>
  <c r="T107" i="1"/>
  <c r="R107" i="1"/>
  <c r="P107" i="1"/>
  <c r="N107" i="1"/>
  <c r="L107" i="1"/>
  <c r="J107" i="1"/>
  <c r="H107" i="1"/>
  <c r="F107" i="1"/>
  <c r="D107" i="1"/>
  <c r="B107" i="1"/>
  <c r="X106" i="1"/>
  <c r="V106" i="1"/>
  <c r="T106" i="1"/>
  <c r="R106" i="1"/>
  <c r="P106" i="1"/>
  <c r="N106" i="1"/>
  <c r="L106" i="1"/>
  <c r="J106" i="1"/>
  <c r="H106" i="1"/>
  <c r="F106" i="1"/>
  <c r="D106" i="1"/>
  <c r="B106" i="1"/>
  <c r="X100" i="1"/>
  <c r="V100" i="1"/>
  <c r="T100" i="1"/>
  <c r="R100" i="1"/>
  <c r="P100" i="1"/>
  <c r="N100" i="1"/>
  <c r="J100" i="1"/>
  <c r="H100" i="1"/>
  <c r="F100" i="1"/>
  <c r="D100" i="1"/>
  <c r="X99" i="1"/>
  <c r="V99" i="1"/>
  <c r="T99" i="1"/>
  <c r="R99" i="1"/>
  <c r="P99" i="1"/>
  <c r="N99" i="1"/>
  <c r="L99" i="1"/>
  <c r="J99" i="1"/>
  <c r="H99" i="1"/>
  <c r="F99" i="1"/>
  <c r="D99" i="1"/>
  <c r="B99" i="1"/>
  <c r="X98" i="1"/>
  <c r="V98" i="1"/>
  <c r="T98" i="1"/>
  <c r="R98" i="1"/>
  <c r="P98" i="1"/>
  <c r="N98" i="1"/>
  <c r="L98" i="1"/>
  <c r="J98" i="1"/>
  <c r="H98" i="1"/>
  <c r="F98" i="1"/>
  <c r="D98" i="1"/>
  <c r="X97" i="1"/>
  <c r="V97" i="1"/>
  <c r="T97" i="1"/>
  <c r="R97" i="1"/>
  <c r="P97" i="1"/>
  <c r="N97" i="1"/>
  <c r="L97" i="1"/>
  <c r="J97" i="1"/>
  <c r="H97" i="1"/>
  <c r="F97" i="1"/>
  <c r="D97" i="1"/>
  <c r="B97" i="1"/>
  <c r="X96" i="1"/>
  <c r="V96" i="1"/>
  <c r="T96" i="1"/>
  <c r="R96" i="1"/>
  <c r="N96" i="1"/>
  <c r="L96" i="1"/>
  <c r="J96" i="1"/>
  <c r="H96" i="1"/>
  <c r="F96" i="1"/>
  <c r="D96" i="1"/>
  <c r="B96" i="1"/>
  <c r="X95" i="1"/>
  <c r="V95" i="1"/>
  <c r="T95" i="1"/>
  <c r="R95" i="1"/>
  <c r="N95" i="1"/>
  <c r="L95" i="1"/>
  <c r="J95" i="1"/>
  <c r="H95" i="1"/>
  <c r="F95" i="1"/>
  <c r="D95" i="1"/>
  <c r="B95" i="1"/>
  <c r="X94" i="1"/>
  <c r="T94" i="1"/>
  <c r="R94" i="1"/>
  <c r="P94" i="1"/>
  <c r="N94" i="1"/>
  <c r="L94" i="1"/>
  <c r="J94" i="1"/>
  <c r="H94" i="1"/>
  <c r="F94" i="1"/>
  <c r="D94" i="1"/>
  <c r="B94" i="1"/>
  <c r="X93" i="1"/>
  <c r="V93" i="1"/>
  <c r="T93" i="1"/>
  <c r="R93" i="1"/>
  <c r="P93" i="1"/>
  <c r="L93" i="1"/>
  <c r="J93" i="1"/>
  <c r="H93" i="1"/>
  <c r="F93" i="1"/>
  <c r="D93" i="1"/>
  <c r="B93" i="1"/>
  <c r="X92" i="1"/>
  <c r="V92" i="1"/>
  <c r="T92" i="1"/>
  <c r="R92" i="1"/>
  <c r="P92" i="1"/>
  <c r="N92" i="1"/>
  <c r="L92" i="1"/>
  <c r="J92" i="1"/>
  <c r="H92" i="1"/>
  <c r="F92" i="1"/>
  <c r="D92" i="1"/>
  <c r="B92" i="1"/>
  <c r="X90" i="1"/>
  <c r="V90" i="1"/>
  <c r="T90" i="1"/>
  <c r="R90" i="1"/>
  <c r="L90" i="1"/>
  <c r="J90" i="1"/>
  <c r="H90" i="1"/>
  <c r="F90" i="1"/>
  <c r="D90" i="1"/>
  <c r="B90" i="1"/>
  <c r="X89" i="1"/>
  <c r="V89" i="1"/>
  <c r="T89" i="1"/>
  <c r="R89" i="1"/>
  <c r="P89" i="1"/>
  <c r="N89" i="1"/>
  <c r="L89" i="1"/>
  <c r="J89" i="1"/>
  <c r="H89" i="1"/>
  <c r="F89" i="1"/>
  <c r="D89" i="1"/>
  <c r="B89" i="1"/>
  <c r="X88" i="1"/>
  <c r="V88" i="1"/>
  <c r="T88" i="1"/>
  <c r="R88" i="1"/>
  <c r="P88" i="1"/>
  <c r="N88" i="1"/>
  <c r="L88" i="1"/>
  <c r="J88" i="1"/>
  <c r="H88" i="1"/>
  <c r="F88" i="1"/>
  <c r="D88" i="1"/>
  <c r="B88" i="1"/>
  <c r="X87" i="1"/>
  <c r="V87" i="1"/>
  <c r="T87" i="1"/>
  <c r="R87" i="1"/>
  <c r="P87" i="1"/>
  <c r="N87" i="1"/>
  <c r="L87" i="1"/>
  <c r="J87" i="1"/>
  <c r="H87" i="1"/>
  <c r="F87" i="1"/>
  <c r="D87" i="1"/>
  <c r="B87" i="1"/>
  <c r="X86" i="1"/>
  <c r="V86" i="1"/>
  <c r="T86" i="1"/>
  <c r="R86" i="1"/>
  <c r="P86" i="1"/>
  <c r="N86" i="1"/>
  <c r="L86" i="1"/>
  <c r="J86" i="1"/>
  <c r="H86" i="1"/>
  <c r="F86" i="1"/>
  <c r="B86" i="1"/>
  <c r="X85" i="1"/>
  <c r="V85" i="1"/>
  <c r="T85" i="1"/>
  <c r="R85" i="1"/>
  <c r="N85" i="1"/>
  <c r="L85" i="1"/>
  <c r="J85" i="1"/>
  <c r="H85" i="1"/>
  <c r="F85" i="1"/>
  <c r="D85" i="1"/>
  <c r="B85" i="1"/>
  <c r="X84" i="1"/>
  <c r="V84" i="1"/>
  <c r="T84" i="1"/>
  <c r="R84" i="1"/>
  <c r="P84" i="1"/>
  <c r="N84" i="1"/>
  <c r="J84" i="1"/>
  <c r="H84" i="1"/>
  <c r="F84" i="1"/>
  <c r="D84" i="1"/>
  <c r="B84" i="1"/>
  <c r="X83" i="1"/>
  <c r="V83" i="1"/>
  <c r="T83" i="1"/>
  <c r="R83" i="1"/>
  <c r="P83" i="1"/>
  <c r="N83" i="1"/>
  <c r="L83" i="1"/>
  <c r="H83" i="1"/>
  <c r="F83" i="1"/>
  <c r="D83" i="1"/>
  <c r="B83" i="1"/>
  <c r="X82" i="1"/>
  <c r="T82" i="1"/>
  <c r="R82" i="1"/>
  <c r="P82" i="1"/>
  <c r="N82" i="1"/>
  <c r="L82" i="1"/>
  <c r="J82" i="1"/>
  <c r="H82" i="1"/>
  <c r="F82" i="1"/>
  <c r="D82" i="1"/>
  <c r="B82" i="1"/>
  <c r="X80" i="1"/>
  <c r="V80" i="1"/>
  <c r="T80" i="1"/>
  <c r="R80" i="1"/>
  <c r="P80" i="1"/>
  <c r="N80" i="1"/>
  <c r="L80" i="1"/>
  <c r="J80" i="1"/>
  <c r="F80" i="1"/>
  <c r="D80" i="1"/>
  <c r="B80" i="1"/>
  <c r="X79" i="1"/>
  <c r="V79" i="1"/>
  <c r="T79" i="1"/>
  <c r="R79" i="1"/>
  <c r="P79" i="1"/>
  <c r="N79" i="1"/>
  <c r="L79" i="1"/>
  <c r="J79" i="1"/>
  <c r="H79" i="1"/>
  <c r="F79" i="1"/>
  <c r="D79" i="1"/>
  <c r="B79" i="1"/>
  <c r="X78" i="1"/>
  <c r="V78" i="1"/>
  <c r="T78" i="1"/>
  <c r="R78" i="1"/>
  <c r="P78" i="1"/>
  <c r="N78" i="1"/>
  <c r="L78" i="1"/>
  <c r="J78" i="1"/>
  <c r="H78" i="1"/>
  <c r="F78" i="1"/>
  <c r="D78" i="1"/>
  <c r="B78" i="1"/>
  <c r="X77" i="1"/>
  <c r="V77" i="1"/>
  <c r="T77" i="1"/>
  <c r="R77" i="1"/>
  <c r="P77" i="1"/>
  <c r="N77" i="1"/>
  <c r="L77" i="1"/>
  <c r="J77" i="1"/>
  <c r="H77" i="1"/>
  <c r="F77" i="1"/>
  <c r="D77" i="1"/>
  <c r="B77" i="1"/>
  <c r="X76" i="1"/>
  <c r="V76" i="1"/>
  <c r="R76" i="1"/>
  <c r="P76" i="1"/>
  <c r="N76" i="1"/>
  <c r="L76" i="1"/>
  <c r="J76" i="1"/>
  <c r="H76" i="1"/>
  <c r="F76" i="1"/>
  <c r="D76" i="1"/>
  <c r="B76" i="1"/>
  <c r="X75" i="1"/>
  <c r="V75" i="1"/>
  <c r="T75" i="1"/>
  <c r="R75" i="1"/>
  <c r="P75" i="1"/>
  <c r="N75" i="1"/>
  <c r="L75" i="1"/>
  <c r="J75" i="1"/>
  <c r="H75" i="1"/>
  <c r="F75" i="1"/>
  <c r="D75" i="1"/>
  <c r="B75" i="1"/>
  <c r="X74" i="1"/>
  <c r="V74" i="1"/>
  <c r="T74" i="1"/>
  <c r="R74" i="1"/>
  <c r="P74" i="1"/>
  <c r="N74" i="1"/>
  <c r="L74" i="1"/>
  <c r="J74" i="1"/>
  <c r="H74" i="1"/>
  <c r="F74" i="1"/>
  <c r="D74" i="1"/>
  <c r="B74" i="1"/>
  <c r="X73" i="1"/>
  <c r="V73" i="1"/>
  <c r="T73" i="1"/>
  <c r="R73" i="1"/>
  <c r="P73" i="1"/>
  <c r="N73" i="1"/>
  <c r="L73" i="1"/>
  <c r="J73" i="1"/>
  <c r="H73" i="1"/>
  <c r="F73" i="1"/>
  <c r="D73" i="1"/>
  <c r="B73" i="1"/>
  <c r="X72" i="1"/>
  <c r="V72" i="1"/>
  <c r="T72" i="1"/>
  <c r="R72" i="1"/>
  <c r="P72" i="1"/>
  <c r="N72" i="1"/>
  <c r="L72" i="1"/>
  <c r="J72" i="1"/>
  <c r="H72" i="1"/>
  <c r="F72" i="1"/>
  <c r="D72" i="1"/>
  <c r="B72" i="1"/>
  <c r="X70" i="1"/>
  <c r="V70" i="1"/>
  <c r="T70" i="1"/>
  <c r="R70" i="1"/>
  <c r="P70" i="1"/>
  <c r="N70" i="1"/>
  <c r="L70" i="1"/>
  <c r="J70" i="1"/>
  <c r="H70" i="1"/>
  <c r="F70" i="1"/>
  <c r="D70" i="1"/>
  <c r="B70" i="1"/>
  <c r="X69" i="1"/>
  <c r="V69" i="1"/>
  <c r="T69" i="1"/>
  <c r="R69" i="1"/>
  <c r="P69" i="1"/>
  <c r="N69" i="1"/>
  <c r="L69" i="1"/>
  <c r="J69" i="1"/>
  <c r="H69" i="1"/>
  <c r="F69" i="1"/>
  <c r="D69" i="1"/>
  <c r="B69" i="1"/>
  <c r="X68" i="1"/>
  <c r="V68" i="1"/>
  <c r="T68" i="1"/>
  <c r="R68" i="1"/>
  <c r="P68" i="1"/>
  <c r="N68" i="1"/>
  <c r="L68" i="1"/>
  <c r="J68" i="1"/>
  <c r="H68" i="1"/>
  <c r="F68" i="1"/>
  <c r="D68" i="1"/>
  <c r="B68" i="1"/>
  <c r="X67" i="1"/>
  <c r="V67" i="1"/>
  <c r="T67" i="1"/>
  <c r="R67" i="1"/>
  <c r="P67" i="1"/>
  <c r="N67" i="1"/>
  <c r="L67" i="1"/>
  <c r="J67" i="1"/>
  <c r="H67" i="1"/>
  <c r="F67" i="1"/>
  <c r="D67" i="1"/>
  <c r="B67" i="1"/>
  <c r="X66" i="1"/>
  <c r="V66" i="1"/>
  <c r="T66" i="1"/>
  <c r="R66" i="1"/>
  <c r="P66" i="1"/>
  <c r="N66" i="1"/>
  <c r="L66" i="1"/>
  <c r="J66" i="1"/>
  <c r="H66" i="1"/>
  <c r="F66" i="1"/>
  <c r="D66" i="1"/>
  <c r="B66" i="1"/>
  <c r="X65" i="1"/>
  <c r="V65" i="1"/>
  <c r="T65" i="1"/>
  <c r="R65" i="1"/>
  <c r="P65" i="1"/>
  <c r="N65" i="1"/>
  <c r="L65" i="1"/>
  <c r="J65" i="1"/>
  <c r="H65" i="1"/>
  <c r="F65" i="1"/>
  <c r="D65" i="1"/>
  <c r="B65" i="1"/>
  <c r="X64" i="1"/>
  <c r="V64" i="1"/>
  <c r="T64" i="1"/>
  <c r="R64" i="1"/>
  <c r="P64" i="1"/>
  <c r="L64" i="1"/>
  <c r="J64" i="1"/>
  <c r="H64" i="1"/>
  <c r="F64" i="1"/>
  <c r="D64" i="1"/>
  <c r="B64" i="1"/>
  <c r="X63" i="1"/>
  <c r="T63" i="1"/>
  <c r="R63" i="1"/>
  <c r="P63" i="1"/>
  <c r="N63" i="1"/>
  <c r="L63" i="1"/>
  <c r="J63" i="1"/>
  <c r="H63" i="1"/>
  <c r="F63" i="1"/>
  <c r="D63" i="1"/>
  <c r="B63" i="1"/>
  <c r="X62" i="1"/>
  <c r="T62" i="1"/>
  <c r="R62" i="1"/>
  <c r="P62" i="1"/>
  <c r="N62" i="1"/>
  <c r="L62" i="1"/>
  <c r="J62" i="1"/>
  <c r="F62" i="1"/>
  <c r="D62" i="1"/>
  <c r="B62" i="1"/>
  <c r="X60" i="1"/>
  <c r="T60" i="1"/>
  <c r="R60" i="1"/>
  <c r="P60" i="1"/>
  <c r="N60" i="1"/>
  <c r="L60" i="1"/>
  <c r="J60" i="1"/>
  <c r="H60" i="1"/>
  <c r="D60" i="1"/>
  <c r="B60" i="1"/>
  <c r="X59" i="1"/>
  <c r="T59" i="1"/>
  <c r="R59" i="1"/>
  <c r="P59" i="1"/>
  <c r="N59" i="1"/>
  <c r="L59" i="1"/>
  <c r="J59" i="1"/>
  <c r="H59" i="1"/>
  <c r="D59" i="1"/>
  <c r="B59" i="1"/>
  <c r="X58" i="1"/>
  <c r="V58" i="1"/>
  <c r="T58" i="1"/>
  <c r="R58" i="1"/>
  <c r="P58" i="1"/>
  <c r="N58" i="1"/>
  <c r="L58" i="1"/>
  <c r="J58" i="1"/>
  <c r="H58" i="1"/>
  <c r="D58" i="1"/>
  <c r="B58" i="1"/>
  <c r="X57" i="1"/>
  <c r="V57" i="1"/>
  <c r="T57" i="1"/>
  <c r="R57" i="1"/>
  <c r="P57" i="1"/>
  <c r="N57" i="1"/>
  <c r="L57" i="1"/>
  <c r="J57" i="1"/>
  <c r="H57" i="1"/>
  <c r="D57" i="1"/>
  <c r="B57" i="1"/>
  <c r="X56" i="1"/>
  <c r="V56" i="1"/>
  <c r="T56" i="1"/>
  <c r="R56" i="1"/>
  <c r="P56" i="1"/>
  <c r="N56" i="1"/>
  <c r="L56" i="1"/>
  <c r="J56" i="1"/>
  <c r="H56" i="1"/>
  <c r="D56" i="1"/>
  <c r="B56" i="1"/>
  <c r="X55" i="1"/>
  <c r="V55" i="1"/>
  <c r="T55" i="1"/>
  <c r="R55" i="1"/>
  <c r="P55" i="1"/>
  <c r="N55" i="1"/>
  <c r="L55" i="1"/>
  <c r="J55" i="1"/>
  <c r="H55" i="1"/>
  <c r="D55" i="1"/>
  <c r="B55" i="1"/>
  <c r="X54" i="1"/>
  <c r="V54" i="1"/>
  <c r="T54" i="1"/>
  <c r="R54" i="1"/>
  <c r="P54" i="1"/>
  <c r="N54" i="1"/>
  <c r="L54" i="1"/>
  <c r="J54" i="1"/>
  <c r="H54" i="1"/>
  <c r="D54" i="1"/>
  <c r="B54" i="1"/>
  <c r="X53" i="1"/>
  <c r="V53" i="1"/>
  <c r="T53" i="1"/>
  <c r="R53" i="1"/>
  <c r="N53" i="1"/>
  <c r="J53" i="1"/>
  <c r="H53" i="1"/>
  <c r="D53" i="1"/>
  <c r="B53" i="1"/>
  <c r="X52" i="1"/>
  <c r="V52" i="1"/>
  <c r="T52" i="1"/>
  <c r="P52" i="1"/>
  <c r="N52" i="1"/>
  <c r="L52" i="1"/>
  <c r="J52" i="1"/>
  <c r="H52" i="1"/>
  <c r="D52" i="1"/>
  <c r="B52" i="1"/>
  <c r="F51" i="1"/>
  <c r="X50" i="1"/>
  <c r="V50" i="1"/>
  <c r="T50" i="1"/>
  <c r="R50" i="1"/>
  <c r="P50" i="1"/>
  <c r="N50" i="1"/>
  <c r="L50" i="1"/>
  <c r="J50" i="1"/>
  <c r="H50" i="1"/>
  <c r="F50" i="1"/>
  <c r="B50" i="1"/>
  <c r="X49" i="1"/>
  <c r="V49" i="1"/>
  <c r="T49" i="1"/>
  <c r="R49" i="1"/>
  <c r="N49" i="1"/>
  <c r="L49" i="1"/>
  <c r="J49" i="1"/>
  <c r="H49" i="1"/>
  <c r="F49" i="1"/>
  <c r="B49" i="1"/>
  <c r="X48" i="1"/>
  <c r="V48" i="1"/>
  <c r="T48" i="1"/>
  <c r="R48" i="1"/>
  <c r="P48" i="1"/>
  <c r="N48" i="1"/>
  <c r="L48" i="1"/>
  <c r="J48" i="1"/>
  <c r="H48" i="1"/>
  <c r="F48" i="1"/>
  <c r="B48" i="1"/>
  <c r="X47" i="1"/>
  <c r="V47" i="1"/>
  <c r="T47" i="1"/>
  <c r="R47" i="1"/>
  <c r="P47" i="1"/>
  <c r="N47" i="1"/>
  <c r="L47" i="1"/>
  <c r="J47" i="1"/>
  <c r="H47" i="1"/>
  <c r="F47" i="1"/>
  <c r="B47" i="1"/>
  <c r="X46" i="1"/>
  <c r="V46" i="1"/>
  <c r="T46" i="1"/>
  <c r="R46" i="1"/>
  <c r="P46" i="1"/>
  <c r="N46" i="1"/>
  <c r="L46" i="1"/>
  <c r="J46" i="1"/>
  <c r="H46" i="1"/>
  <c r="F46" i="1"/>
  <c r="B46" i="1"/>
  <c r="X45" i="1"/>
  <c r="V45" i="1"/>
  <c r="T45" i="1"/>
  <c r="R45" i="1"/>
  <c r="P45" i="1"/>
  <c r="L45" i="1"/>
  <c r="J45" i="1"/>
  <c r="H45" i="1"/>
  <c r="F45" i="1"/>
  <c r="B45" i="1"/>
  <c r="X44" i="1"/>
  <c r="V44" i="1"/>
  <c r="T44" i="1"/>
  <c r="R44" i="1"/>
  <c r="P44" i="1"/>
  <c r="N44" i="1"/>
  <c r="L44" i="1"/>
  <c r="J44" i="1"/>
  <c r="H44" i="1"/>
  <c r="F44" i="1"/>
  <c r="B44" i="1"/>
  <c r="X43" i="1"/>
  <c r="V43" i="1"/>
  <c r="T43" i="1"/>
  <c r="R43" i="1"/>
  <c r="P43" i="1"/>
  <c r="N43" i="1"/>
  <c r="L43" i="1"/>
  <c r="J43" i="1"/>
  <c r="H43" i="1"/>
  <c r="F43" i="1"/>
  <c r="B43" i="1"/>
  <c r="X42" i="1"/>
  <c r="V42" i="1"/>
  <c r="T42" i="1"/>
  <c r="R42" i="1"/>
  <c r="P42" i="1"/>
  <c r="L42" i="1"/>
  <c r="J42" i="1"/>
  <c r="H42" i="1"/>
  <c r="H41" i="1"/>
  <c r="X40" i="1"/>
  <c r="V40" i="1"/>
  <c r="T40" i="1"/>
  <c r="R40" i="1"/>
  <c r="P40" i="1"/>
  <c r="J40" i="1"/>
  <c r="H40" i="1"/>
  <c r="X39" i="1"/>
  <c r="V39" i="1"/>
  <c r="T39" i="1"/>
  <c r="R39" i="1"/>
  <c r="P39" i="1"/>
  <c r="J39" i="1"/>
  <c r="H39" i="1"/>
  <c r="X38" i="1"/>
  <c r="V38" i="1"/>
  <c r="T38" i="1"/>
  <c r="P38" i="1"/>
  <c r="J38" i="1"/>
  <c r="H38" i="1"/>
  <c r="X37" i="1"/>
  <c r="V37" i="1"/>
  <c r="T37" i="1"/>
  <c r="R37" i="1"/>
  <c r="P37" i="1"/>
  <c r="N37" i="1"/>
  <c r="L37" i="1"/>
  <c r="J37" i="1"/>
  <c r="H37" i="1"/>
  <c r="F37" i="1"/>
  <c r="B37" i="1"/>
  <c r="X36" i="1"/>
  <c r="V36" i="1"/>
  <c r="T36" i="1"/>
  <c r="R36" i="1"/>
  <c r="P36" i="1"/>
  <c r="N36" i="1"/>
  <c r="L36" i="1"/>
  <c r="J36" i="1"/>
  <c r="H36" i="1"/>
  <c r="F36" i="1"/>
  <c r="B36" i="1"/>
  <c r="X35" i="1"/>
  <c r="V35" i="1"/>
  <c r="T35" i="1"/>
  <c r="R35" i="1"/>
  <c r="P35" i="1"/>
  <c r="N35" i="1"/>
  <c r="L35" i="1"/>
  <c r="J35" i="1"/>
  <c r="H35" i="1"/>
  <c r="F35" i="1"/>
  <c r="B35" i="1"/>
  <c r="X34" i="1"/>
  <c r="V34" i="1"/>
  <c r="T34" i="1"/>
  <c r="R34" i="1"/>
  <c r="P34" i="1"/>
  <c r="N34" i="1"/>
  <c r="L34" i="1"/>
  <c r="H34" i="1"/>
  <c r="F34" i="1"/>
  <c r="B34" i="1"/>
  <c r="X33" i="1"/>
  <c r="V33" i="1"/>
  <c r="T33" i="1"/>
  <c r="R33" i="1"/>
  <c r="P33" i="1"/>
  <c r="N33" i="1"/>
  <c r="L33" i="1"/>
  <c r="J33" i="1"/>
  <c r="H33" i="1"/>
  <c r="F33" i="1"/>
  <c r="B33" i="1"/>
  <c r="X32" i="1"/>
  <c r="V32" i="1"/>
  <c r="T32" i="1"/>
  <c r="R32" i="1"/>
  <c r="P32" i="1"/>
  <c r="N32" i="1"/>
  <c r="L32" i="1"/>
  <c r="J32" i="1"/>
  <c r="H32" i="1"/>
  <c r="F32" i="1"/>
  <c r="B32" i="1"/>
  <c r="X31" i="1"/>
  <c r="V31" i="1"/>
  <c r="P31" i="1"/>
  <c r="X30" i="1"/>
  <c r="V30" i="1"/>
  <c r="T30" i="1"/>
  <c r="R30" i="1"/>
  <c r="P30" i="1"/>
  <c r="N30" i="1"/>
  <c r="L30" i="1"/>
  <c r="J30" i="1"/>
  <c r="H30" i="1"/>
  <c r="F30" i="1"/>
  <c r="D30" i="1"/>
  <c r="B30" i="1"/>
  <c r="X29" i="1"/>
  <c r="V29" i="1"/>
  <c r="T29" i="1"/>
  <c r="R29" i="1"/>
  <c r="P29" i="1"/>
  <c r="N29" i="1"/>
  <c r="L29" i="1"/>
  <c r="J29" i="1"/>
  <c r="H29" i="1"/>
  <c r="F29" i="1"/>
  <c r="D29" i="1"/>
  <c r="B29" i="1"/>
  <c r="X28" i="1"/>
  <c r="V28" i="1"/>
  <c r="T28" i="1"/>
  <c r="R28" i="1"/>
  <c r="P28" i="1"/>
  <c r="N28" i="1"/>
  <c r="L28" i="1"/>
  <c r="J28" i="1"/>
  <c r="H28" i="1"/>
  <c r="F28" i="1"/>
  <c r="D28" i="1"/>
  <c r="B28" i="1"/>
  <c r="X27" i="1"/>
  <c r="V27" i="1"/>
  <c r="T27" i="1"/>
  <c r="R27" i="1"/>
  <c r="P27" i="1"/>
  <c r="L27" i="1"/>
  <c r="J27" i="1"/>
  <c r="H27" i="1"/>
  <c r="F27" i="1"/>
  <c r="D27" i="1"/>
  <c r="B27" i="1"/>
  <c r="X26" i="1"/>
  <c r="V26" i="1"/>
  <c r="T26" i="1"/>
  <c r="R26" i="1"/>
  <c r="P26" i="1"/>
  <c r="N26" i="1"/>
  <c r="J26" i="1"/>
  <c r="H26" i="1"/>
  <c r="F26" i="1"/>
  <c r="D26" i="1"/>
  <c r="B26" i="1"/>
  <c r="X25" i="1"/>
  <c r="V25" i="1"/>
  <c r="T25" i="1"/>
  <c r="R25" i="1"/>
  <c r="P25" i="1"/>
  <c r="N25" i="1"/>
  <c r="L25" i="1"/>
  <c r="J25" i="1"/>
  <c r="H25" i="1"/>
  <c r="F25" i="1"/>
  <c r="D25" i="1"/>
  <c r="B25" i="1"/>
  <c r="X24" i="1"/>
  <c r="V24" i="1"/>
  <c r="T24" i="1"/>
  <c r="R24" i="1"/>
  <c r="P24" i="1"/>
  <c r="L24" i="1"/>
  <c r="J24" i="1"/>
  <c r="H24" i="1"/>
  <c r="F24" i="1"/>
  <c r="D24" i="1"/>
  <c r="B24" i="1"/>
  <c r="X23" i="1"/>
  <c r="V23" i="1"/>
  <c r="T23" i="1"/>
  <c r="R23" i="1"/>
  <c r="P23" i="1"/>
  <c r="N23" i="1"/>
  <c r="L23" i="1"/>
  <c r="J23" i="1"/>
  <c r="H23" i="1"/>
  <c r="F23" i="1"/>
  <c r="D23" i="1"/>
  <c r="B23" i="1"/>
  <c r="X22" i="1"/>
  <c r="V22" i="1"/>
  <c r="T22" i="1"/>
  <c r="R22" i="1"/>
  <c r="P22" i="1"/>
  <c r="N22" i="1"/>
  <c r="L22" i="1"/>
  <c r="J22" i="1"/>
  <c r="H22" i="1"/>
  <c r="F22" i="1"/>
  <c r="D22" i="1"/>
  <c r="B22" i="1"/>
  <c r="X20" i="1"/>
  <c r="T20" i="1"/>
  <c r="R20" i="1"/>
  <c r="P20" i="1"/>
  <c r="N20" i="1"/>
  <c r="L20" i="1"/>
  <c r="J20" i="1"/>
  <c r="H20" i="1"/>
  <c r="F20" i="1"/>
  <c r="D20" i="1"/>
  <c r="B20" i="1"/>
  <c r="X19" i="1"/>
  <c r="V19" i="1"/>
  <c r="T19" i="1"/>
  <c r="R19" i="1"/>
  <c r="P19" i="1"/>
  <c r="N19" i="1"/>
  <c r="L19" i="1"/>
  <c r="J19" i="1"/>
  <c r="H19" i="1"/>
  <c r="F19" i="1"/>
  <c r="D19" i="1"/>
  <c r="B19" i="1"/>
  <c r="X18" i="1"/>
  <c r="V18" i="1"/>
  <c r="T18" i="1"/>
  <c r="R18" i="1"/>
  <c r="P18" i="1"/>
  <c r="N18" i="1"/>
  <c r="L18" i="1"/>
  <c r="J18" i="1"/>
  <c r="H18" i="1"/>
  <c r="F18" i="1"/>
  <c r="D18" i="1"/>
  <c r="B18" i="1"/>
  <c r="X17" i="1"/>
  <c r="V17" i="1"/>
  <c r="T17" i="1"/>
  <c r="R17" i="1"/>
  <c r="P17" i="1"/>
  <c r="N17" i="1"/>
  <c r="L17" i="1"/>
  <c r="J17" i="1"/>
  <c r="H17" i="1"/>
  <c r="F17" i="1"/>
  <c r="D17" i="1"/>
  <c r="B17" i="1"/>
  <c r="X16" i="1"/>
  <c r="V16" i="1"/>
  <c r="T16" i="1"/>
  <c r="R16" i="1"/>
  <c r="P16" i="1"/>
  <c r="N16" i="1"/>
  <c r="L16" i="1"/>
  <c r="J16" i="1"/>
  <c r="H16" i="1"/>
  <c r="F16" i="1"/>
  <c r="B16" i="1"/>
  <c r="X15" i="1"/>
  <c r="V15" i="1"/>
  <c r="T15" i="1"/>
  <c r="R15" i="1"/>
  <c r="P15" i="1"/>
  <c r="N15" i="1"/>
  <c r="L15" i="1"/>
  <c r="J15" i="1"/>
  <c r="H15" i="1"/>
  <c r="F15" i="1"/>
  <c r="D15" i="1"/>
  <c r="B15" i="1"/>
  <c r="X14" i="1"/>
  <c r="V14" i="1"/>
  <c r="T14" i="1"/>
  <c r="R14" i="1"/>
  <c r="P14" i="1"/>
  <c r="N14" i="1"/>
  <c r="L14" i="1"/>
  <c r="H14" i="1"/>
  <c r="F14" i="1"/>
  <c r="D14" i="1"/>
  <c r="B14" i="1"/>
  <c r="X13" i="1"/>
  <c r="V13" i="1"/>
  <c r="T13" i="1"/>
  <c r="R13" i="1"/>
  <c r="P13" i="1"/>
  <c r="N13" i="1"/>
  <c r="L13" i="1"/>
  <c r="H13" i="1"/>
  <c r="F13" i="1"/>
  <c r="D13" i="1"/>
  <c r="B13" i="1"/>
  <c r="X12" i="1"/>
  <c r="V12" i="1"/>
  <c r="T12" i="1"/>
  <c r="R12" i="1"/>
  <c r="P12" i="1"/>
  <c r="N12" i="1"/>
  <c r="L12" i="1"/>
  <c r="J12" i="1"/>
  <c r="H12" i="1"/>
  <c r="F12" i="1"/>
  <c r="D12" i="1"/>
  <c r="B12" i="1"/>
  <c r="L11" i="1"/>
  <c r="X10" i="1"/>
  <c r="V10" i="1"/>
  <c r="T10" i="1"/>
  <c r="R10" i="1"/>
  <c r="P10" i="1"/>
  <c r="N10" i="1"/>
  <c r="J10" i="1"/>
  <c r="H10" i="1"/>
  <c r="F10" i="1"/>
  <c r="D10" i="1"/>
  <c r="B10" i="1"/>
  <c r="X9" i="1"/>
  <c r="T9" i="1"/>
  <c r="R9" i="1"/>
  <c r="P9" i="1"/>
  <c r="N9" i="1"/>
  <c r="L9" i="1"/>
  <c r="H9" i="1"/>
  <c r="F9" i="1"/>
  <c r="B9" i="1"/>
  <c r="X8" i="1"/>
  <c r="V8" i="1"/>
  <c r="T8" i="1"/>
  <c r="R8" i="1"/>
  <c r="P8" i="1"/>
  <c r="N8" i="1"/>
  <c r="L8" i="1"/>
  <c r="J8" i="1"/>
  <c r="H8" i="1"/>
  <c r="F8" i="1"/>
  <c r="D8" i="1"/>
  <c r="B8" i="1"/>
  <c r="X7" i="1"/>
  <c r="V7" i="1"/>
  <c r="T7" i="1"/>
  <c r="R7" i="1"/>
  <c r="P7" i="1"/>
  <c r="L7" i="1"/>
  <c r="J7" i="1"/>
  <c r="H7" i="1"/>
  <c r="F7" i="1"/>
  <c r="D7" i="1"/>
  <c r="B7" i="1"/>
  <c r="X6" i="1"/>
  <c r="V6" i="1"/>
  <c r="T6" i="1"/>
  <c r="R6" i="1"/>
  <c r="P6" i="1"/>
  <c r="N6" i="1"/>
  <c r="L6" i="1"/>
  <c r="J6" i="1"/>
  <c r="H6" i="1"/>
  <c r="F6" i="1"/>
  <c r="D6" i="1"/>
  <c r="B6" i="1"/>
  <c r="V5" i="1"/>
  <c r="T5" i="1"/>
  <c r="R5" i="1"/>
  <c r="P5" i="1"/>
  <c r="N5" i="1"/>
  <c r="L5" i="1"/>
  <c r="J5" i="1"/>
  <c r="H5" i="1"/>
  <c r="F5" i="1"/>
  <c r="D5" i="1"/>
  <c r="B5" i="1"/>
  <c r="X4" i="1"/>
  <c r="V4" i="1"/>
  <c r="T4" i="1"/>
  <c r="R4" i="1"/>
  <c r="P4" i="1"/>
  <c r="N4" i="1"/>
  <c r="L4" i="1"/>
  <c r="J4" i="1"/>
  <c r="H4" i="1"/>
  <c r="F4" i="1"/>
  <c r="D4" i="1"/>
  <c r="B4" i="1"/>
  <c r="X3" i="1"/>
  <c r="V3" i="1"/>
  <c r="T3" i="1"/>
  <c r="R3" i="1"/>
  <c r="P3" i="1"/>
  <c r="N3" i="1"/>
  <c r="L3" i="1"/>
  <c r="J3" i="1"/>
  <c r="H3" i="1"/>
  <c r="F3" i="1"/>
  <c r="D3" i="1"/>
  <c r="B3" i="1"/>
  <c r="X2" i="1"/>
  <c r="V2" i="1"/>
  <c r="T2" i="1"/>
  <c r="R2" i="1"/>
  <c r="P2" i="1"/>
  <c r="N2" i="1"/>
  <c r="L2" i="1"/>
  <c r="J2" i="1"/>
  <c r="H2" i="1"/>
  <c r="F2" i="1"/>
  <c r="D2" i="1"/>
  <c r="B2" i="1"/>
</calcChain>
</file>

<file path=xl/comments1.xml><?xml version="1.0" encoding="utf-8"?>
<comments xmlns="http://schemas.openxmlformats.org/spreadsheetml/2006/main">
  <authors>
    <author>Author</author>
  </authors>
  <commentList>
    <comment ref="AB1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8000 niaz pe utar dia ibraheem nay kaha 
</t>
        </r>
      </text>
    </comment>
  </commentList>
</comments>
</file>

<file path=xl/sharedStrings.xml><?xml version="1.0" encoding="utf-8"?>
<sst xmlns="http://schemas.openxmlformats.org/spreadsheetml/2006/main" count="49" uniqueCount="43">
  <si>
    <t>Date</t>
  </si>
  <si>
    <t xml:space="preserve">Meter 1 </t>
  </si>
  <si>
    <t xml:space="preserve">Meter 2 </t>
  </si>
  <si>
    <t>Meter 3</t>
  </si>
  <si>
    <t>Meter 4</t>
  </si>
  <si>
    <t>Meter 5</t>
  </si>
  <si>
    <t>Meter 9</t>
  </si>
  <si>
    <t>Meter 10</t>
  </si>
  <si>
    <t>Meter 13</t>
  </si>
  <si>
    <t>Meter 14</t>
  </si>
  <si>
    <t xml:space="preserve">Dip 1 </t>
  </si>
  <si>
    <t xml:space="preserve">Dip 2 </t>
  </si>
  <si>
    <t>Dip 3</t>
  </si>
  <si>
    <t>HSD 1,2,11</t>
  </si>
  <si>
    <t>PG 3,4,9,10</t>
  </si>
  <si>
    <t>PG 5</t>
  </si>
  <si>
    <t>Tank 1</t>
  </si>
  <si>
    <t>Tank 2</t>
  </si>
  <si>
    <t>Tank 3</t>
  </si>
  <si>
    <t>Balance 1</t>
  </si>
  <si>
    <t>Balance 2</t>
  </si>
  <si>
    <t xml:space="preserve">Balance 3 </t>
  </si>
  <si>
    <t>USAGE</t>
  </si>
  <si>
    <t>ADDITION</t>
  </si>
  <si>
    <t>Book Balance</t>
  </si>
  <si>
    <t xml:space="preserve">Dip 4 </t>
  </si>
  <si>
    <t>Balance 4</t>
  </si>
  <si>
    <t xml:space="preserve">Dip 5 </t>
  </si>
  <si>
    <t>Balance 5</t>
  </si>
  <si>
    <t>Tank 4</t>
  </si>
  <si>
    <t>Tank 5</t>
  </si>
  <si>
    <t>Gain/Loss</t>
  </si>
  <si>
    <t>Tank 1+2</t>
  </si>
  <si>
    <t>Acc 1+2 Gain/Loss</t>
  </si>
  <si>
    <t>Acc 3 Gain/Loss</t>
  </si>
  <si>
    <t>Acc 4 Gain/Loss</t>
  </si>
  <si>
    <t>Acc 5 Gain/Loss</t>
  </si>
  <si>
    <t xml:space="preserve">                                                                                                                                                                                                                                    </t>
  </si>
  <si>
    <t>b</t>
  </si>
  <si>
    <t xml:space="preserve"> </t>
  </si>
  <si>
    <t>Meter 7</t>
  </si>
  <si>
    <t>PG 7,13,14</t>
  </si>
  <si>
    <t>Acommulateve PMG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</si>
</sst>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3" fillId="6" borderId="0" xfId="0" applyFont="1" applyFill="1"/>
    <xf numFmtId="0" fontId="2" fillId="0" borderId="0" xfId="0" applyFont="1"/>
    <xf numFmtId="0" fontId="4" fillId="0" borderId="0" xfId="0" applyFont="1" applyFill="1"/>
    <xf numFmtId="0" fontId="3" fillId="7" borderId="0" xfId="0" applyFont="1" applyFill="1"/>
    <xf numFmtId="0" fontId="4" fillId="4" borderId="0" xfId="0" applyFont="1" applyFill="1"/>
    <xf numFmtId="15" fontId="0" fillId="0" borderId="0" xfId="0" applyNumberFormat="1"/>
    <xf numFmtId="0" fontId="0" fillId="0" borderId="0" xfId="0" applyFill="1"/>
    <xf numFmtId="0" fontId="6" fillId="4" borderId="0" xfId="0" applyFont="1" applyFill="1"/>
    <xf numFmtId="0" fontId="5" fillId="0" borderId="0" xfId="0" applyFont="1" applyAlignment="1"/>
    <xf numFmtId="0" fontId="0" fillId="0" borderId="0" xfId="0"/>
    <xf numFmtId="0" fontId="7" fillId="0" borderId="0" xfId="0" applyFont="1" applyFill="1" applyAlignment="1"/>
    <xf numFmtId="0" fontId="4" fillId="4" borderId="7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1" fontId="1" fillId="7" borderId="10" xfId="0" applyNumberFormat="1" applyFont="1" applyFill="1" applyBorder="1" applyAlignment="1">
      <alignment horizontal="center" vertical="center" wrapText="1"/>
    </xf>
    <xf numFmtId="1" fontId="1" fillId="7" borderId="9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5"/>
  <sheetViews>
    <sheetView topLeftCell="E74" zoomScale="110" zoomScaleNormal="110" workbookViewId="0">
      <selection activeCell="E13" sqref="E13"/>
    </sheetView>
  </sheetViews>
  <sheetFormatPr defaultRowHeight="14.4" x14ac:dyDescent="0.3"/>
  <sheetData>
    <row r="1" spans="1:24" x14ac:dyDescent="0.25">
      <c r="A1">
        <v>0</v>
      </c>
      <c r="B1">
        <v>0</v>
      </c>
      <c r="C1">
        <v>100</v>
      </c>
      <c r="D1">
        <v>338</v>
      </c>
      <c r="E1">
        <v>200</v>
      </c>
      <c r="F1">
        <v>942</v>
      </c>
      <c r="G1">
        <v>300</v>
      </c>
      <c r="H1">
        <v>1708</v>
      </c>
      <c r="I1">
        <v>400</v>
      </c>
      <c r="J1">
        <v>2593</v>
      </c>
      <c r="K1">
        <v>500</v>
      </c>
      <c r="L1">
        <v>3573</v>
      </c>
      <c r="M1">
        <v>600</v>
      </c>
      <c r="N1">
        <v>4627</v>
      </c>
      <c r="O1">
        <v>700</v>
      </c>
      <c r="Q1">
        <v>800</v>
      </c>
      <c r="R1">
        <v>6905</v>
      </c>
      <c r="S1">
        <v>900</v>
      </c>
      <c r="T1">
        <v>8140</v>
      </c>
      <c r="U1">
        <v>1000</v>
      </c>
      <c r="V1">
        <v>9330</v>
      </c>
      <c r="W1">
        <v>1100</v>
      </c>
      <c r="X1">
        <v>10573</v>
      </c>
    </row>
    <row r="2" spans="1:24" x14ac:dyDescent="0.25">
      <c r="A2">
        <v>1</v>
      </c>
      <c r="B2">
        <f>((B11-B1)/10)*A2</f>
        <v>1.1000000000000001</v>
      </c>
      <c r="C2">
        <v>101</v>
      </c>
      <c r="D2">
        <f>338+((389-338)/10)*(C2-100)</f>
        <v>343.1</v>
      </c>
      <c r="E2">
        <v>201</v>
      </c>
      <c r="F2">
        <f>942+((1013-942)/10)*(E2-200)</f>
        <v>949.1</v>
      </c>
      <c r="G2">
        <v>301</v>
      </c>
      <c r="H2">
        <f>1708+((1792-1708)/10)*(G2-300)</f>
        <v>1716.4</v>
      </c>
      <c r="I2">
        <v>401</v>
      </c>
      <c r="J2">
        <f>2593+((2687-2593)/10)*(I2-400)</f>
        <v>2602.4</v>
      </c>
      <c r="K2">
        <v>501</v>
      </c>
      <c r="L2">
        <f>3573+((3675-3573)/10)*(K2-500)</f>
        <v>3583.2</v>
      </c>
      <c r="M2">
        <v>601</v>
      </c>
      <c r="N2">
        <f>4627+((4736-4627)/10)*(M2-600)</f>
        <v>4637.8999999999996</v>
      </c>
      <c r="O2">
        <v>701</v>
      </c>
      <c r="P2">
        <f>5742+((5856-5742)/10)*(O2-700)</f>
        <v>5753.4</v>
      </c>
      <c r="Q2">
        <v>801</v>
      </c>
      <c r="R2">
        <f>6905+((7023-6905)/10)*(Q2-800)</f>
        <v>6916.8</v>
      </c>
      <c r="S2">
        <v>901</v>
      </c>
      <c r="T2">
        <f>8140+((8226-8140)/10)*(S2-900)</f>
        <v>8148.6</v>
      </c>
      <c r="U2">
        <v>1001</v>
      </c>
      <c r="V2">
        <f>9330+((9454-9330)/10)*(U2-1000)</f>
        <v>9342.4</v>
      </c>
      <c r="W2">
        <v>1101</v>
      </c>
      <c r="X2">
        <f>10573+((10698-10573)/10)*(W2-1100)</f>
        <v>10585.5</v>
      </c>
    </row>
    <row r="3" spans="1:24" x14ac:dyDescent="0.25">
      <c r="A3">
        <v>2</v>
      </c>
      <c r="B3">
        <f>((B11-B1)/10)*A3</f>
        <v>2.2000000000000002</v>
      </c>
      <c r="C3">
        <v>102</v>
      </c>
      <c r="D3">
        <f t="shared" ref="D3:D10" si="0">338+((389-338)/10)*(C3-100)</f>
        <v>348.2</v>
      </c>
      <c r="E3">
        <v>202</v>
      </c>
      <c r="F3">
        <f t="shared" ref="F3:F10" si="1">942+((1013-942)/10)*(E3-200)</f>
        <v>956.2</v>
      </c>
      <c r="G3">
        <v>302</v>
      </c>
      <c r="H3">
        <f t="shared" ref="H3:H10" si="2">1708+((1792-1708)/10)*(G3-300)</f>
        <v>1724.8</v>
      </c>
      <c r="I3">
        <v>402</v>
      </c>
      <c r="J3">
        <f t="shared" ref="J3:J10" si="3">2593+((2687-2593)/10)*(I3-400)</f>
        <v>2611.8000000000002</v>
      </c>
      <c r="K3">
        <v>502</v>
      </c>
      <c r="L3">
        <f t="shared" ref="L3:L9" si="4">3573+((3675-3573)/10)*(K3-500)</f>
        <v>3593.4</v>
      </c>
      <c r="M3">
        <v>602</v>
      </c>
      <c r="N3">
        <f t="shared" ref="N3:N10" si="5">4627+((4736-4627)/10)*(M3-600)</f>
        <v>4648.8</v>
      </c>
      <c r="O3">
        <v>702</v>
      </c>
      <c r="P3">
        <f t="shared" ref="P3:P10" si="6">5742+((5856-5742)/10)*(O3-700)</f>
        <v>5764.8</v>
      </c>
      <c r="Q3">
        <v>802</v>
      </c>
      <c r="R3">
        <f t="shared" ref="R3:R10" si="7">6905+((7023-6905)/10)*(Q3-800)</f>
        <v>6928.6</v>
      </c>
      <c r="S3">
        <v>902</v>
      </c>
      <c r="T3">
        <f t="shared" ref="T3:T10" si="8">8140+((8226-8140)/10)*(S3-900)</f>
        <v>8157.2</v>
      </c>
      <c r="U3">
        <v>1002</v>
      </c>
      <c r="V3">
        <f t="shared" ref="V3:V10" si="9">9330+((9454-9330)/10)*(U3-1000)</f>
        <v>9354.7999999999993</v>
      </c>
      <c r="W3">
        <v>1102</v>
      </c>
      <c r="X3">
        <f t="shared" ref="X3:X10" si="10">10573+((10698-10573)/10)*(W3-1100)</f>
        <v>10598</v>
      </c>
    </row>
    <row r="4" spans="1:24" x14ac:dyDescent="0.25">
      <c r="A4">
        <v>3</v>
      </c>
      <c r="B4">
        <f>((B11-B1)/10)*A4</f>
        <v>3.3000000000000003</v>
      </c>
      <c r="C4">
        <v>103</v>
      </c>
      <c r="D4">
        <f t="shared" si="0"/>
        <v>353.3</v>
      </c>
      <c r="E4">
        <v>203</v>
      </c>
      <c r="F4">
        <f t="shared" si="1"/>
        <v>963.3</v>
      </c>
      <c r="G4">
        <v>303</v>
      </c>
      <c r="H4">
        <f t="shared" si="2"/>
        <v>1733.2</v>
      </c>
      <c r="I4">
        <v>403</v>
      </c>
      <c r="J4">
        <f t="shared" si="3"/>
        <v>2621.1999999999998</v>
      </c>
      <c r="K4">
        <v>503</v>
      </c>
      <c r="L4">
        <f t="shared" si="4"/>
        <v>3603.6</v>
      </c>
      <c r="M4">
        <v>603</v>
      </c>
      <c r="N4">
        <f t="shared" si="5"/>
        <v>4659.7</v>
      </c>
      <c r="O4">
        <v>703</v>
      </c>
      <c r="P4">
        <f t="shared" si="6"/>
        <v>5776.2</v>
      </c>
      <c r="Q4">
        <v>803</v>
      </c>
      <c r="R4">
        <f t="shared" si="7"/>
        <v>6940.4</v>
      </c>
      <c r="S4">
        <v>903</v>
      </c>
      <c r="T4">
        <f t="shared" si="8"/>
        <v>8165.8</v>
      </c>
      <c r="U4">
        <v>1003</v>
      </c>
      <c r="V4">
        <f t="shared" si="9"/>
        <v>9367.2000000000007</v>
      </c>
      <c r="W4">
        <v>1103</v>
      </c>
      <c r="X4">
        <f t="shared" si="10"/>
        <v>10610.5</v>
      </c>
    </row>
    <row r="5" spans="1:24" x14ac:dyDescent="0.25">
      <c r="A5">
        <v>4</v>
      </c>
      <c r="B5">
        <f t="shared" ref="B5:B10" si="11">((11-0)/10)*A5</f>
        <v>4.4000000000000004</v>
      </c>
      <c r="C5">
        <v>104</v>
      </c>
      <c r="D5">
        <f t="shared" si="0"/>
        <v>358.4</v>
      </c>
      <c r="E5">
        <v>204</v>
      </c>
      <c r="F5">
        <f t="shared" si="1"/>
        <v>970.4</v>
      </c>
      <c r="G5">
        <v>304</v>
      </c>
      <c r="H5">
        <f t="shared" si="2"/>
        <v>1741.6</v>
      </c>
      <c r="I5">
        <v>404</v>
      </c>
      <c r="J5">
        <f t="shared" si="3"/>
        <v>2630.6</v>
      </c>
      <c r="K5">
        <v>504</v>
      </c>
      <c r="L5">
        <f t="shared" si="4"/>
        <v>3613.8</v>
      </c>
      <c r="M5">
        <v>604</v>
      </c>
      <c r="N5">
        <f t="shared" si="5"/>
        <v>4670.6000000000004</v>
      </c>
      <c r="O5">
        <v>704</v>
      </c>
      <c r="P5">
        <f t="shared" si="6"/>
        <v>5787.6</v>
      </c>
      <c r="Q5">
        <v>804</v>
      </c>
      <c r="R5">
        <f t="shared" si="7"/>
        <v>6952.2</v>
      </c>
      <c r="S5">
        <v>904</v>
      </c>
      <c r="T5">
        <f t="shared" si="8"/>
        <v>8174.4</v>
      </c>
      <c r="U5">
        <v>1004</v>
      </c>
      <c r="V5">
        <f t="shared" si="9"/>
        <v>9379.6</v>
      </c>
      <c r="W5">
        <v>1104</v>
      </c>
      <c r="X5">
        <f t="shared" si="10"/>
        <v>10623</v>
      </c>
    </row>
    <row r="6" spans="1:24" x14ac:dyDescent="0.25">
      <c r="A6">
        <v>5</v>
      </c>
      <c r="B6">
        <f t="shared" si="11"/>
        <v>5.5</v>
      </c>
      <c r="C6">
        <v>105</v>
      </c>
      <c r="D6">
        <f t="shared" si="0"/>
        <v>363.5</v>
      </c>
      <c r="E6">
        <v>205</v>
      </c>
      <c r="F6">
        <f t="shared" si="1"/>
        <v>977.5</v>
      </c>
      <c r="G6">
        <v>305</v>
      </c>
      <c r="H6">
        <f t="shared" si="2"/>
        <v>1750</v>
      </c>
      <c r="I6">
        <v>405</v>
      </c>
      <c r="J6">
        <f t="shared" si="3"/>
        <v>2640</v>
      </c>
      <c r="K6">
        <v>505</v>
      </c>
      <c r="L6">
        <f t="shared" si="4"/>
        <v>3624</v>
      </c>
      <c r="M6">
        <v>605</v>
      </c>
      <c r="N6">
        <f t="shared" si="5"/>
        <v>4681.5</v>
      </c>
      <c r="O6">
        <v>705</v>
      </c>
      <c r="P6">
        <f t="shared" si="6"/>
        <v>5799</v>
      </c>
      <c r="Q6">
        <v>805</v>
      </c>
      <c r="R6">
        <f t="shared" si="7"/>
        <v>6964</v>
      </c>
      <c r="S6">
        <v>905</v>
      </c>
      <c r="T6">
        <f t="shared" si="8"/>
        <v>8183</v>
      </c>
      <c r="U6">
        <v>1005</v>
      </c>
      <c r="V6">
        <f t="shared" si="9"/>
        <v>9392</v>
      </c>
      <c r="W6">
        <v>1105</v>
      </c>
      <c r="X6">
        <f t="shared" si="10"/>
        <v>10635.5</v>
      </c>
    </row>
    <row r="7" spans="1:24" x14ac:dyDescent="0.25">
      <c r="A7">
        <v>6</v>
      </c>
      <c r="B7">
        <f t="shared" si="11"/>
        <v>6.6000000000000005</v>
      </c>
      <c r="C7">
        <v>106</v>
      </c>
      <c r="D7">
        <f t="shared" si="0"/>
        <v>368.6</v>
      </c>
      <c r="E7">
        <v>206</v>
      </c>
      <c r="F7">
        <f t="shared" si="1"/>
        <v>984.6</v>
      </c>
      <c r="G7">
        <v>306</v>
      </c>
      <c r="H7">
        <f t="shared" si="2"/>
        <v>1758.4</v>
      </c>
      <c r="I7">
        <v>406</v>
      </c>
      <c r="J7">
        <f t="shared" si="3"/>
        <v>2649.4</v>
      </c>
      <c r="K7">
        <v>506</v>
      </c>
      <c r="L7">
        <f t="shared" si="4"/>
        <v>3634.2</v>
      </c>
      <c r="M7">
        <v>606</v>
      </c>
      <c r="N7">
        <f t="shared" si="5"/>
        <v>4692.3999999999996</v>
      </c>
      <c r="O7">
        <v>706</v>
      </c>
      <c r="P7">
        <f t="shared" si="6"/>
        <v>5810.4</v>
      </c>
      <c r="Q7">
        <v>806</v>
      </c>
      <c r="R7">
        <f t="shared" si="7"/>
        <v>6975.8</v>
      </c>
      <c r="S7">
        <v>906</v>
      </c>
      <c r="T7">
        <f t="shared" si="8"/>
        <v>8191.6</v>
      </c>
      <c r="U7">
        <v>1006</v>
      </c>
      <c r="V7">
        <f t="shared" si="9"/>
        <v>9404.4</v>
      </c>
      <c r="W7">
        <v>1106</v>
      </c>
      <c r="X7">
        <f t="shared" si="10"/>
        <v>10648</v>
      </c>
    </row>
    <row r="8" spans="1:24" x14ac:dyDescent="0.25">
      <c r="A8">
        <v>7</v>
      </c>
      <c r="B8">
        <f t="shared" si="11"/>
        <v>7.7000000000000011</v>
      </c>
      <c r="C8">
        <v>107</v>
      </c>
      <c r="D8">
        <f t="shared" si="0"/>
        <v>373.7</v>
      </c>
      <c r="E8">
        <v>207</v>
      </c>
      <c r="F8">
        <f t="shared" si="1"/>
        <v>991.7</v>
      </c>
      <c r="G8">
        <v>307</v>
      </c>
      <c r="H8">
        <f t="shared" si="2"/>
        <v>1766.8</v>
      </c>
      <c r="I8">
        <v>407</v>
      </c>
      <c r="J8">
        <f t="shared" si="3"/>
        <v>2658.8</v>
      </c>
      <c r="K8">
        <v>507</v>
      </c>
      <c r="L8">
        <f t="shared" si="4"/>
        <v>3644.4</v>
      </c>
      <c r="M8">
        <v>607</v>
      </c>
      <c r="N8">
        <f t="shared" si="5"/>
        <v>4703.3</v>
      </c>
      <c r="O8">
        <v>707</v>
      </c>
      <c r="P8">
        <f t="shared" si="6"/>
        <v>5821.8</v>
      </c>
      <c r="Q8">
        <v>807</v>
      </c>
      <c r="R8">
        <f t="shared" si="7"/>
        <v>6987.6</v>
      </c>
      <c r="S8">
        <v>907</v>
      </c>
      <c r="T8">
        <f t="shared" si="8"/>
        <v>8200.2000000000007</v>
      </c>
      <c r="U8">
        <v>1007</v>
      </c>
      <c r="V8">
        <f t="shared" si="9"/>
        <v>9416.7999999999993</v>
      </c>
      <c r="W8">
        <v>1107</v>
      </c>
      <c r="X8">
        <f t="shared" si="10"/>
        <v>10660.5</v>
      </c>
    </row>
    <row r="9" spans="1:24" x14ac:dyDescent="0.25">
      <c r="A9">
        <v>8</v>
      </c>
      <c r="B9">
        <f t="shared" si="11"/>
        <v>8.8000000000000007</v>
      </c>
      <c r="C9">
        <v>108</v>
      </c>
      <c r="D9">
        <f t="shared" si="0"/>
        <v>378.8</v>
      </c>
      <c r="E9">
        <v>208</v>
      </c>
      <c r="F9">
        <f t="shared" si="1"/>
        <v>998.8</v>
      </c>
      <c r="G9">
        <v>308</v>
      </c>
      <c r="H9">
        <f t="shared" si="2"/>
        <v>1775.2</v>
      </c>
      <c r="I9">
        <v>408</v>
      </c>
      <c r="J9">
        <f t="shared" si="3"/>
        <v>2668.2</v>
      </c>
      <c r="K9">
        <v>508</v>
      </c>
      <c r="L9">
        <f t="shared" si="4"/>
        <v>3654.6</v>
      </c>
      <c r="M9">
        <v>608</v>
      </c>
      <c r="N9">
        <f t="shared" si="5"/>
        <v>4714.2</v>
      </c>
      <c r="O9">
        <v>708</v>
      </c>
      <c r="P9">
        <f t="shared" si="6"/>
        <v>5833.2</v>
      </c>
      <c r="Q9">
        <v>808</v>
      </c>
      <c r="R9">
        <f t="shared" si="7"/>
        <v>6999.4</v>
      </c>
      <c r="S9">
        <v>908</v>
      </c>
      <c r="T9">
        <f t="shared" si="8"/>
        <v>8208.7999999999993</v>
      </c>
      <c r="U9">
        <v>1008</v>
      </c>
      <c r="V9">
        <f t="shared" si="9"/>
        <v>9429.2000000000007</v>
      </c>
      <c r="W9">
        <v>1108</v>
      </c>
      <c r="X9">
        <f t="shared" si="10"/>
        <v>10673</v>
      </c>
    </row>
    <row r="10" spans="1:24" x14ac:dyDescent="0.3">
      <c r="A10">
        <v>9</v>
      </c>
      <c r="B10">
        <f t="shared" si="11"/>
        <v>9.9</v>
      </c>
      <c r="C10">
        <v>109</v>
      </c>
      <c r="D10">
        <f t="shared" si="0"/>
        <v>383.9</v>
      </c>
      <c r="E10">
        <v>209</v>
      </c>
      <c r="F10">
        <f t="shared" si="1"/>
        <v>1005.9</v>
      </c>
      <c r="G10">
        <v>309</v>
      </c>
      <c r="H10">
        <f t="shared" si="2"/>
        <v>1783.6</v>
      </c>
      <c r="I10">
        <v>409</v>
      </c>
      <c r="J10">
        <f t="shared" si="3"/>
        <v>2677.6</v>
      </c>
      <c r="K10">
        <v>509</v>
      </c>
      <c r="L10">
        <f t="shared" ref="L10" si="12">3986+((4092-3986)/10)*(K10-540)</f>
        <v>3657.4</v>
      </c>
      <c r="M10">
        <v>609</v>
      </c>
      <c r="N10">
        <f t="shared" si="5"/>
        <v>4725.1000000000004</v>
      </c>
      <c r="O10">
        <v>709</v>
      </c>
      <c r="P10">
        <f t="shared" si="6"/>
        <v>5844.6</v>
      </c>
      <c r="Q10">
        <v>809</v>
      </c>
      <c r="R10">
        <f t="shared" si="7"/>
        <v>7011.2</v>
      </c>
      <c r="S10">
        <v>909</v>
      </c>
      <c r="T10">
        <f t="shared" si="8"/>
        <v>8217.4</v>
      </c>
      <c r="U10">
        <v>1009</v>
      </c>
      <c r="V10">
        <f t="shared" si="9"/>
        <v>9441.6</v>
      </c>
      <c r="W10">
        <v>1109</v>
      </c>
      <c r="X10">
        <f t="shared" si="10"/>
        <v>10685.5</v>
      </c>
    </row>
    <row r="11" spans="1:24" x14ac:dyDescent="0.3">
      <c r="A11">
        <v>10</v>
      </c>
      <c r="B11">
        <v>11</v>
      </c>
      <c r="C11">
        <v>110</v>
      </c>
      <c r="D11">
        <v>389</v>
      </c>
      <c r="E11">
        <v>210</v>
      </c>
      <c r="F11">
        <v>1013</v>
      </c>
      <c r="G11">
        <v>310</v>
      </c>
      <c r="H11">
        <v>1792</v>
      </c>
      <c r="I11">
        <v>410</v>
      </c>
      <c r="J11">
        <v>2687</v>
      </c>
      <c r="K11">
        <v>510</v>
      </c>
      <c r="L11">
        <f>12326+((12451-12326)/10)*(K11-1240)</f>
        <v>3201</v>
      </c>
      <c r="M11">
        <v>610</v>
      </c>
      <c r="N11">
        <v>4736</v>
      </c>
      <c r="O11">
        <v>710</v>
      </c>
      <c r="P11">
        <v>5856</v>
      </c>
      <c r="Q11">
        <v>810</v>
      </c>
      <c r="R11">
        <v>7023</v>
      </c>
      <c r="S11">
        <v>910</v>
      </c>
      <c r="T11">
        <v>8226</v>
      </c>
      <c r="U11">
        <v>1010</v>
      </c>
      <c r="V11">
        <v>9454</v>
      </c>
      <c r="W11">
        <v>1110</v>
      </c>
      <c r="X11">
        <v>10698</v>
      </c>
    </row>
    <row r="12" spans="1:24" x14ac:dyDescent="0.3">
      <c r="A12">
        <v>11</v>
      </c>
      <c r="B12">
        <f t="shared" ref="B12:B20" si="13">11+((31-11)/10)*(A12-10)</f>
        <v>13</v>
      </c>
      <c r="C12">
        <v>111</v>
      </c>
      <c r="D12">
        <f>389+((443-389)/10)*(C12-110)</f>
        <v>394.4</v>
      </c>
      <c r="E12">
        <v>211</v>
      </c>
      <c r="F12">
        <f>1013+((1084-1013)/10)*(E12-210)</f>
        <v>1020.1</v>
      </c>
      <c r="G12">
        <v>311</v>
      </c>
      <c r="H12">
        <f>1792+((1877-1792)/10)*(G12-310)</f>
        <v>1800.5</v>
      </c>
      <c r="I12">
        <v>411</v>
      </c>
      <c r="J12">
        <f>2687+((2782-2687)/10)*(I12-410)</f>
        <v>2696.5</v>
      </c>
      <c r="K12">
        <v>511</v>
      </c>
      <c r="L12">
        <f>3675+((3778-3675)/10)*(K12-510)</f>
        <v>3685.3</v>
      </c>
      <c r="M12">
        <v>611</v>
      </c>
      <c r="N12">
        <f>4736+((4846-4736)/10)*(M12-610)</f>
        <v>4747</v>
      </c>
      <c r="O12">
        <v>711</v>
      </c>
      <c r="P12">
        <f>5856+((5971-5856)/10)*(O12-710)</f>
        <v>5867.5</v>
      </c>
      <c r="Q12">
        <v>811</v>
      </c>
      <c r="R12">
        <f>7023+((7142-7023)/10)*(Q12-810)</f>
        <v>7034.9</v>
      </c>
      <c r="S12">
        <v>911</v>
      </c>
      <c r="T12">
        <f>8226+((8347-8226)/10)*(S12-910)</f>
        <v>8238.1</v>
      </c>
      <c r="U12">
        <v>1011</v>
      </c>
      <c r="V12">
        <f>9454+((9578-9454)/10)*(U12-1010)</f>
        <v>9466.4</v>
      </c>
      <c r="W12">
        <v>1111</v>
      </c>
      <c r="X12">
        <f>10698+((10823-10698)/10)*(W12-1110)</f>
        <v>10710.5</v>
      </c>
    </row>
    <row r="13" spans="1:24" x14ac:dyDescent="0.3">
      <c r="A13">
        <v>12</v>
      </c>
      <c r="B13">
        <f t="shared" si="13"/>
        <v>15</v>
      </c>
      <c r="C13">
        <v>112</v>
      </c>
      <c r="D13">
        <f t="shared" ref="D13:D20" si="14">389+((443-389)/10)*(C13-110)</f>
        <v>399.8</v>
      </c>
      <c r="E13">
        <v>212</v>
      </c>
      <c r="F13">
        <f t="shared" ref="F13:F20" si="15">1013+((1084-1013)/10)*(E13-210)</f>
        <v>1027.2</v>
      </c>
      <c r="G13">
        <v>312</v>
      </c>
      <c r="H13">
        <f t="shared" ref="H13:H20" si="16">1792+((1877-1792)/10)*(G13-310)</f>
        <v>1809</v>
      </c>
      <c r="I13">
        <v>412</v>
      </c>
      <c r="J13">
        <f>2687+((2782-2687)/10)*(I13-410)</f>
        <v>2706</v>
      </c>
      <c r="K13">
        <v>512</v>
      </c>
      <c r="L13">
        <f t="shared" ref="L13:L20" si="17">3675+((3778-3675)/10)*(K13-510)</f>
        <v>3695.6</v>
      </c>
      <c r="M13">
        <v>612</v>
      </c>
      <c r="N13">
        <f t="shared" ref="N13:N20" si="18">4736+((4846-4736)/10)*(M13-610)</f>
        <v>4758</v>
      </c>
      <c r="O13">
        <v>712</v>
      </c>
      <c r="P13">
        <f t="shared" ref="P13:P20" si="19">5856+((5971-5856)/10)*(O13-710)</f>
        <v>5879</v>
      </c>
      <c r="Q13">
        <v>812</v>
      </c>
      <c r="R13">
        <f t="shared" ref="R13:R20" si="20">7023+((7142-7023)/10)*(Q13-810)</f>
        <v>7046.8</v>
      </c>
      <c r="S13">
        <v>912</v>
      </c>
      <c r="T13">
        <f t="shared" ref="T13:T20" si="21">8226+((8347-8226)/10)*(S13-910)</f>
        <v>8250.2000000000007</v>
      </c>
      <c r="U13">
        <v>1012</v>
      </c>
      <c r="V13">
        <f t="shared" ref="V13:V20" si="22">9454+((9578-9454)/10)*(U13-1010)</f>
        <v>9478.7999999999993</v>
      </c>
      <c r="W13">
        <v>1112</v>
      </c>
      <c r="X13">
        <f t="shared" ref="X13:X20" si="23">10698+((10823-10698)/10)*(W13-1110)</f>
        <v>10723</v>
      </c>
    </row>
    <row r="14" spans="1:24" x14ac:dyDescent="0.3">
      <c r="A14">
        <v>13</v>
      </c>
      <c r="B14">
        <f t="shared" si="13"/>
        <v>17</v>
      </c>
      <c r="C14">
        <v>113</v>
      </c>
      <c r="D14">
        <f t="shared" si="14"/>
        <v>405.2</v>
      </c>
      <c r="E14">
        <v>213</v>
      </c>
      <c r="F14">
        <f t="shared" si="15"/>
        <v>1034.3</v>
      </c>
      <c r="G14">
        <v>313</v>
      </c>
      <c r="H14">
        <f t="shared" si="16"/>
        <v>1817.5</v>
      </c>
      <c r="I14">
        <v>413</v>
      </c>
      <c r="J14">
        <f>2687+((2782-2687)/10)*(I14-410)</f>
        <v>2715.5</v>
      </c>
      <c r="K14">
        <v>513</v>
      </c>
      <c r="L14">
        <f t="shared" si="17"/>
        <v>3705.9</v>
      </c>
      <c r="M14">
        <v>613</v>
      </c>
      <c r="N14">
        <f t="shared" si="18"/>
        <v>4769</v>
      </c>
      <c r="O14">
        <v>713</v>
      </c>
      <c r="P14">
        <f t="shared" si="19"/>
        <v>5890.5</v>
      </c>
      <c r="Q14">
        <v>813</v>
      </c>
      <c r="R14">
        <f t="shared" si="20"/>
        <v>7058.7</v>
      </c>
      <c r="S14">
        <v>913</v>
      </c>
      <c r="T14">
        <f t="shared" si="21"/>
        <v>8262.2999999999993</v>
      </c>
      <c r="U14">
        <v>1013</v>
      </c>
      <c r="V14">
        <f t="shared" si="22"/>
        <v>9491.2000000000007</v>
      </c>
      <c r="W14">
        <v>1113</v>
      </c>
      <c r="X14">
        <f t="shared" si="23"/>
        <v>10735.5</v>
      </c>
    </row>
    <row r="15" spans="1:24" x14ac:dyDescent="0.3">
      <c r="A15">
        <v>14</v>
      </c>
      <c r="B15">
        <f t="shared" si="13"/>
        <v>19</v>
      </c>
      <c r="C15">
        <v>114</v>
      </c>
      <c r="D15">
        <f t="shared" si="14"/>
        <v>410.6</v>
      </c>
      <c r="E15">
        <v>214</v>
      </c>
      <c r="F15">
        <f t="shared" si="15"/>
        <v>1041.4000000000001</v>
      </c>
      <c r="G15">
        <v>314</v>
      </c>
      <c r="H15">
        <f t="shared" si="16"/>
        <v>1826</v>
      </c>
      <c r="I15">
        <v>414</v>
      </c>
      <c r="J15">
        <f t="shared" ref="J15:J20" si="24">2687+((2782-2687)/10)*(I15-410)</f>
        <v>2725</v>
      </c>
      <c r="K15">
        <v>514</v>
      </c>
      <c r="L15">
        <f t="shared" si="17"/>
        <v>3716.2</v>
      </c>
      <c r="M15">
        <v>614</v>
      </c>
      <c r="N15">
        <f t="shared" si="18"/>
        <v>4780</v>
      </c>
      <c r="O15">
        <v>714</v>
      </c>
      <c r="P15">
        <f t="shared" si="19"/>
        <v>5902</v>
      </c>
      <c r="Q15">
        <v>814</v>
      </c>
      <c r="R15">
        <f t="shared" si="20"/>
        <v>7070.6</v>
      </c>
      <c r="S15">
        <v>914</v>
      </c>
      <c r="T15">
        <f t="shared" si="21"/>
        <v>8274.4</v>
      </c>
      <c r="U15">
        <v>1014</v>
      </c>
      <c r="V15">
        <f>9454+((9578-9454)/10)*(U15-1010)</f>
        <v>9503.6</v>
      </c>
      <c r="W15">
        <v>1114</v>
      </c>
      <c r="X15">
        <f t="shared" si="23"/>
        <v>10748</v>
      </c>
    </row>
    <row r="16" spans="1:24" x14ac:dyDescent="0.3">
      <c r="A16">
        <v>15</v>
      </c>
      <c r="B16">
        <f t="shared" si="13"/>
        <v>21</v>
      </c>
      <c r="C16">
        <v>115</v>
      </c>
      <c r="D16">
        <f t="shared" ref="D16" si="25">289+((338-242)/10)*(C16-90)</f>
        <v>529</v>
      </c>
      <c r="E16">
        <v>215</v>
      </c>
      <c r="F16">
        <f t="shared" si="15"/>
        <v>1048.5</v>
      </c>
      <c r="G16">
        <v>315</v>
      </c>
      <c r="H16">
        <f t="shared" si="16"/>
        <v>1834.5</v>
      </c>
      <c r="I16">
        <v>415</v>
      </c>
      <c r="J16">
        <f t="shared" si="24"/>
        <v>2734.5</v>
      </c>
      <c r="K16">
        <v>515</v>
      </c>
      <c r="L16">
        <f t="shared" si="17"/>
        <v>3726.5</v>
      </c>
      <c r="M16">
        <v>615</v>
      </c>
      <c r="N16">
        <f t="shared" si="18"/>
        <v>4791</v>
      </c>
      <c r="O16">
        <v>715</v>
      </c>
      <c r="P16">
        <f t="shared" si="19"/>
        <v>5913.5</v>
      </c>
      <c r="Q16">
        <v>815</v>
      </c>
      <c r="R16">
        <f t="shared" si="20"/>
        <v>7082.5</v>
      </c>
      <c r="S16">
        <v>915</v>
      </c>
      <c r="T16">
        <f t="shared" si="21"/>
        <v>8286.5</v>
      </c>
      <c r="U16">
        <v>1015</v>
      </c>
      <c r="V16">
        <f t="shared" si="22"/>
        <v>9516</v>
      </c>
      <c r="W16">
        <v>1115</v>
      </c>
      <c r="X16">
        <f t="shared" si="23"/>
        <v>10760.5</v>
      </c>
    </row>
    <row r="17" spans="1:24" x14ac:dyDescent="0.3">
      <c r="A17">
        <v>16</v>
      </c>
      <c r="B17">
        <f t="shared" si="13"/>
        <v>23</v>
      </c>
      <c r="C17">
        <v>116</v>
      </c>
      <c r="D17">
        <f t="shared" si="14"/>
        <v>421.4</v>
      </c>
      <c r="E17">
        <v>216</v>
      </c>
      <c r="F17">
        <f t="shared" si="15"/>
        <v>1055.5999999999999</v>
      </c>
      <c r="G17">
        <v>316</v>
      </c>
      <c r="H17">
        <f t="shared" si="16"/>
        <v>1843</v>
      </c>
      <c r="I17">
        <v>416</v>
      </c>
      <c r="J17">
        <f t="shared" si="24"/>
        <v>2744</v>
      </c>
      <c r="K17">
        <v>516</v>
      </c>
      <c r="L17">
        <f t="shared" si="17"/>
        <v>3736.8</v>
      </c>
      <c r="M17">
        <v>616</v>
      </c>
      <c r="N17">
        <f t="shared" si="18"/>
        <v>4802</v>
      </c>
      <c r="O17">
        <v>716</v>
      </c>
      <c r="P17">
        <f t="shared" si="19"/>
        <v>5925</v>
      </c>
      <c r="Q17">
        <v>816</v>
      </c>
      <c r="R17">
        <f t="shared" si="20"/>
        <v>7094.4</v>
      </c>
      <c r="S17">
        <v>916</v>
      </c>
      <c r="T17">
        <f t="shared" si="21"/>
        <v>8298.6</v>
      </c>
      <c r="U17">
        <v>1016</v>
      </c>
      <c r="V17">
        <f t="shared" si="22"/>
        <v>9528.4</v>
      </c>
      <c r="W17">
        <v>1116</v>
      </c>
      <c r="X17">
        <f t="shared" si="23"/>
        <v>10773</v>
      </c>
    </row>
    <row r="18" spans="1:24" x14ac:dyDescent="0.3">
      <c r="A18">
        <v>17</v>
      </c>
      <c r="B18">
        <f t="shared" si="13"/>
        <v>25</v>
      </c>
      <c r="C18">
        <v>117</v>
      </c>
      <c r="D18">
        <f t="shared" si="14"/>
        <v>426.8</v>
      </c>
      <c r="E18">
        <v>217</v>
      </c>
      <c r="F18">
        <f t="shared" si="15"/>
        <v>1062.7</v>
      </c>
      <c r="G18">
        <v>317</v>
      </c>
      <c r="H18">
        <f t="shared" si="16"/>
        <v>1851.5</v>
      </c>
      <c r="I18">
        <v>417</v>
      </c>
      <c r="J18">
        <f t="shared" si="24"/>
        <v>2753.5</v>
      </c>
      <c r="K18">
        <v>517</v>
      </c>
      <c r="L18">
        <f t="shared" si="17"/>
        <v>3747.1</v>
      </c>
      <c r="M18">
        <v>617</v>
      </c>
      <c r="N18">
        <f t="shared" si="18"/>
        <v>4813</v>
      </c>
      <c r="O18">
        <v>717</v>
      </c>
      <c r="P18">
        <f t="shared" si="19"/>
        <v>5936.5</v>
      </c>
      <c r="Q18">
        <v>817</v>
      </c>
      <c r="R18">
        <f t="shared" si="20"/>
        <v>7106.3</v>
      </c>
      <c r="S18">
        <v>917</v>
      </c>
      <c r="T18">
        <f t="shared" si="21"/>
        <v>8310.7000000000007</v>
      </c>
      <c r="U18">
        <v>1017</v>
      </c>
      <c r="V18">
        <f t="shared" si="22"/>
        <v>9540.7999999999993</v>
      </c>
      <c r="W18">
        <v>1117</v>
      </c>
      <c r="X18">
        <f t="shared" si="23"/>
        <v>10785.5</v>
      </c>
    </row>
    <row r="19" spans="1:24" x14ac:dyDescent="0.3">
      <c r="A19">
        <v>18</v>
      </c>
      <c r="B19">
        <f t="shared" si="13"/>
        <v>27</v>
      </c>
      <c r="C19">
        <v>118</v>
      </c>
      <c r="D19">
        <f t="shared" si="14"/>
        <v>432.2</v>
      </c>
      <c r="E19">
        <v>218</v>
      </c>
      <c r="F19">
        <f t="shared" si="15"/>
        <v>1069.8</v>
      </c>
      <c r="G19">
        <v>318</v>
      </c>
      <c r="H19">
        <f t="shared" si="16"/>
        <v>1860</v>
      </c>
      <c r="I19">
        <v>418</v>
      </c>
      <c r="J19">
        <f t="shared" si="24"/>
        <v>2763</v>
      </c>
      <c r="K19">
        <v>518</v>
      </c>
      <c r="L19">
        <f t="shared" si="17"/>
        <v>3757.4</v>
      </c>
      <c r="M19">
        <v>618</v>
      </c>
      <c r="N19">
        <f t="shared" si="18"/>
        <v>4824</v>
      </c>
      <c r="O19">
        <v>718</v>
      </c>
      <c r="P19">
        <f t="shared" si="19"/>
        <v>5948</v>
      </c>
      <c r="Q19">
        <v>818</v>
      </c>
      <c r="R19">
        <f t="shared" si="20"/>
        <v>7118.2</v>
      </c>
      <c r="S19">
        <v>918</v>
      </c>
      <c r="T19">
        <f t="shared" si="21"/>
        <v>8322.7999999999993</v>
      </c>
      <c r="U19">
        <v>1018</v>
      </c>
      <c r="V19">
        <f t="shared" si="22"/>
        <v>9553.2000000000007</v>
      </c>
      <c r="W19">
        <v>1118</v>
      </c>
      <c r="X19">
        <f t="shared" si="23"/>
        <v>10798</v>
      </c>
    </row>
    <row r="20" spans="1:24" x14ac:dyDescent="0.3">
      <c r="A20">
        <v>19</v>
      </c>
      <c r="B20">
        <f t="shared" si="13"/>
        <v>29</v>
      </c>
      <c r="C20">
        <v>119</v>
      </c>
      <c r="D20">
        <f t="shared" si="14"/>
        <v>437.6</v>
      </c>
      <c r="E20">
        <v>219</v>
      </c>
      <c r="F20">
        <f t="shared" si="15"/>
        <v>1076.9000000000001</v>
      </c>
      <c r="G20">
        <v>319</v>
      </c>
      <c r="H20">
        <f t="shared" si="16"/>
        <v>1868.5</v>
      </c>
      <c r="I20">
        <v>419</v>
      </c>
      <c r="J20">
        <f t="shared" si="24"/>
        <v>2772.5</v>
      </c>
      <c r="K20">
        <v>519</v>
      </c>
      <c r="L20">
        <f t="shared" si="17"/>
        <v>3767.7</v>
      </c>
      <c r="M20">
        <v>619</v>
      </c>
      <c r="N20">
        <f t="shared" si="18"/>
        <v>4835</v>
      </c>
      <c r="O20">
        <v>719</v>
      </c>
      <c r="P20">
        <f t="shared" si="19"/>
        <v>5959.5</v>
      </c>
      <c r="Q20">
        <v>819</v>
      </c>
      <c r="R20">
        <f t="shared" si="20"/>
        <v>7130.1</v>
      </c>
      <c r="S20">
        <v>919</v>
      </c>
      <c r="T20">
        <f t="shared" si="21"/>
        <v>8334.9</v>
      </c>
      <c r="U20">
        <v>1019</v>
      </c>
      <c r="V20">
        <f t="shared" si="22"/>
        <v>9565.6</v>
      </c>
      <c r="W20">
        <v>1119</v>
      </c>
      <c r="X20">
        <f t="shared" si="23"/>
        <v>10810.5</v>
      </c>
    </row>
    <row r="21" spans="1:24" x14ac:dyDescent="0.3">
      <c r="A21">
        <v>20</v>
      </c>
      <c r="B21">
        <v>31</v>
      </c>
      <c r="C21">
        <v>120</v>
      </c>
      <c r="D21">
        <v>443</v>
      </c>
      <c r="E21">
        <v>220</v>
      </c>
      <c r="F21">
        <v>1084</v>
      </c>
      <c r="G21">
        <v>320</v>
      </c>
      <c r="H21">
        <v>1877</v>
      </c>
      <c r="I21">
        <v>420</v>
      </c>
      <c r="J21">
        <f>34524+((34706-34524)/10)*(I21-2170)</f>
        <v>2674</v>
      </c>
      <c r="K21">
        <v>520</v>
      </c>
      <c r="L21">
        <v>3778</v>
      </c>
      <c r="M21">
        <v>620</v>
      </c>
      <c r="N21">
        <v>4846</v>
      </c>
      <c r="O21">
        <v>720</v>
      </c>
      <c r="P21">
        <v>5971</v>
      </c>
      <c r="Q21">
        <v>820</v>
      </c>
      <c r="R21">
        <v>7142</v>
      </c>
      <c r="S21">
        <v>920</v>
      </c>
      <c r="T21">
        <v>8347</v>
      </c>
      <c r="U21">
        <v>1020</v>
      </c>
      <c r="V21">
        <v>9578</v>
      </c>
      <c r="W21">
        <v>1120</v>
      </c>
      <c r="X21">
        <v>10823</v>
      </c>
    </row>
    <row r="22" spans="1:24" x14ac:dyDescent="0.3">
      <c r="A22">
        <v>21</v>
      </c>
      <c r="B22">
        <f>31+((56-31)/10)*(A20-20)</f>
        <v>28.5</v>
      </c>
      <c r="C22">
        <v>121</v>
      </c>
      <c r="D22">
        <f>443+((498-443)/10)*(C22-120)</f>
        <v>448.5</v>
      </c>
      <c r="E22">
        <v>221</v>
      </c>
      <c r="F22">
        <f t="shared" ref="F22:F30" si="26">1084+((1166-1084)/10)*(E22-220)</f>
        <v>1092.2</v>
      </c>
      <c r="G22">
        <v>321</v>
      </c>
      <c r="H22">
        <f>1877+((1962-1877)/10)*(G22-320)</f>
        <v>1885.5</v>
      </c>
      <c r="I22">
        <v>421</v>
      </c>
      <c r="J22">
        <f>2782+((2878-2782)/10)*(I22-420)</f>
        <v>2791.6</v>
      </c>
      <c r="K22">
        <v>521</v>
      </c>
      <c r="L22">
        <f>3778+((3882-3778)/10)*(K22-520)</f>
        <v>3788.4</v>
      </c>
      <c r="M22">
        <v>621</v>
      </c>
      <c r="N22">
        <f>4846+((4956-4846)/10)*(M22-620)</f>
        <v>4857</v>
      </c>
      <c r="O22">
        <v>721</v>
      </c>
      <c r="P22">
        <f>5971+((6086-5971)/10)*(O22-720)</f>
        <v>5982.5</v>
      </c>
      <c r="Q22">
        <v>821</v>
      </c>
      <c r="R22">
        <f>7142+((7261-7142)/10)*(Q22-820)</f>
        <v>7153.9</v>
      </c>
      <c r="S22">
        <v>921</v>
      </c>
      <c r="T22">
        <f>8347+((8469-8347)/10)*(S22-920)</f>
        <v>8359.2000000000007</v>
      </c>
      <c r="U22">
        <v>1021</v>
      </c>
      <c r="V22">
        <f>9578+((9708-9578)/10)*(U22-1020)</f>
        <v>9591</v>
      </c>
      <c r="W22">
        <v>1121</v>
      </c>
      <c r="X22">
        <f>10823+((10948-10823)/10)*(W22-1120)</f>
        <v>10835.5</v>
      </c>
    </row>
    <row r="23" spans="1:24" x14ac:dyDescent="0.3">
      <c r="A23">
        <v>22</v>
      </c>
      <c r="B23">
        <f t="shared" ref="B23:B30" si="27">31+((56-31)/10)*(A21-20)</f>
        <v>31</v>
      </c>
      <c r="C23">
        <v>122</v>
      </c>
      <c r="D23">
        <f t="shared" ref="D23:D30" si="28">443+((498-443)/10)*(C23-120)</f>
        <v>454</v>
      </c>
      <c r="E23">
        <v>222</v>
      </c>
      <c r="F23">
        <f t="shared" si="26"/>
        <v>1100.4000000000001</v>
      </c>
      <c r="G23">
        <v>322</v>
      </c>
      <c r="H23">
        <f t="shared" ref="H23:H30" si="29">1877+((1962-1877)/10)*(G23-320)</f>
        <v>1894</v>
      </c>
      <c r="I23">
        <v>422</v>
      </c>
      <c r="J23">
        <f t="shared" ref="J23:J30" si="30">2782+((2878-2782)/10)*(I23-420)</f>
        <v>2801.2</v>
      </c>
      <c r="K23">
        <v>522</v>
      </c>
      <c r="L23">
        <f t="shared" ref="L23:L30" si="31">3778+((3882-3778)/10)*(K23-520)</f>
        <v>3798.8</v>
      </c>
      <c r="M23">
        <v>622</v>
      </c>
      <c r="N23">
        <f t="shared" ref="N23:N30" si="32">4846+((4956-4846)/10)*(M23-620)</f>
        <v>4868</v>
      </c>
      <c r="O23">
        <v>722</v>
      </c>
      <c r="P23">
        <f t="shared" ref="P23:P40" si="33">5971+((6086-5971)/10)*(O23-720)</f>
        <v>5994</v>
      </c>
      <c r="Q23">
        <v>822</v>
      </c>
      <c r="R23">
        <f t="shared" ref="R23:R30" si="34">7142+((7261-7142)/10)*(Q23-820)</f>
        <v>7165.8</v>
      </c>
      <c r="S23">
        <v>922</v>
      </c>
      <c r="T23">
        <f t="shared" ref="T23:T38" si="35">8347+((8469-8347)/10)*(S23-920)</f>
        <v>8371.4</v>
      </c>
      <c r="U23">
        <v>1022</v>
      </c>
      <c r="V23">
        <f t="shared" ref="V23:V37" si="36">9578+((9708-9578)/10)*(U23-1020)</f>
        <v>9604</v>
      </c>
      <c r="W23">
        <v>1122</v>
      </c>
      <c r="X23">
        <f t="shared" ref="X23:X32" si="37">10823+((10948-10823)/10)*(W23-1120)</f>
        <v>10848</v>
      </c>
    </row>
    <row r="24" spans="1:24" x14ac:dyDescent="0.3">
      <c r="A24">
        <v>23</v>
      </c>
      <c r="B24">
        <f t="shared" si="27"/>
        <v>33.5</v>
      </c>
      <c r="C24">
        <v>123</v>
      </c>
      <c r="D24">
        <f t="shared" si="28"/>
        <v>459.5</v>
      </c>
      <c r="E24">
        <v>223</v>
      </c>
      <c r="F24">
        <f t="shared" si="26"/>
        <v>1108.5999999999999</v>
      </c>
      <c r="G24">
        <v>323</v>
      </c>
      <c r="H24">
        <f t="shared" si="29"/>
        <v>1902.5</v>
      </c>
      <c r="I24">
        <v>423</v>
      </c>
      <c r="J24">
        <f t="shared" si="30"/>
        <v>2810.8</v>
      </c>
      <c r="K24">
        <v>523</v>
      </c>
      <c r="L24">
        <f t="shared" si="31"/>
        <v>3809.2</v>
      </c>
      <c r="M24">
        <v>623</v>
      </c>
      <c r="N24">
        <f>4846+((4956-4846)/10)*(M24-620)</f>
        <v>4879</v>
      </c>
      <c r="O24">
        <v>723</v>
      </c>
      <c r="P24">
        <f t="shared" si="33"/>
        <v>6005.5</v>
      </c>
      <c r="Q24">
        <v>823</v>
      </c>
      <c r="R24">
        <f t="shared" si="34"/>
        <v>7177.7</v>
      </c>
      <c r="S24">
        <v>923</v>
      </c>
      <c r="T24">
        <f t="shared" si="35"/>
        <v>8383.6</v>
      </c>
      <c r="U24">
        <v>1023</v>
      </c>
      <c r="V24">
        <f t="shared" si="36"/>
        <v>9617</v>
      </c>
      <c r="W24">
        <v>1123</v>
      </c>
      <c r="X24">
        <f t="shared" si="37"/>
        <v>10860.5</v>
      </c>
    </row>
    <row r="25" spans="1:24" x14ac:dyDescent="0.3">
      <c r="A25">
        <v>24</v>
      </c>
      <c r="B25">
        <f t="shared" si="27"/>
        <v>36</v>
      </c>
      <c r="C25">
        <v>124</v>
      </c>
      <c r="D25">
        <f t="shared" si="28"/>
        <v>465</v>
      </c>
      <c r="E25">
        <v>224</v>
      </c>
      <c r="F25">
        <f t="shared" si="26"/>
        <v>1116.8</v>
      </c>
      <c r="G25">
        <v>324</v>
      </c>
      <c r="H25">
        <f t="shared" si="29"/>
        <v>1911</v>
      </c>
      <c r="I25">
        <v>424</v>
      </c>
      <c r="J25">
        <f t="shared" si="30"/>
        <v>2820.4</v>
      </c>
      <c r="K25">
        <v>524</v>
      </c>
      <c r="L25">
        <f t="shared" si="31"/>
        <v>3819.6</v>
      </c>
      <c r="M25">
        <v>624</v>
      </c>
      <c r="N25">
        <f t="shared" si="32"/>
        <v>4890</v>
      </c>
      <c r="O25">
        <v>724</v>
      </c>
      <c r="P25">
        <f t="shared" si="33"/>
        <v>6017</v>
      </c>
      <c r="Q25">
        <v>824</v>
      </c>
      <c r="R25">
        <f>7142+((7261-7142)/10)*(Q25-820)</f>
        <v>7189.6</v>
      </c>
      <c r="S25">
        <v>924</v>
      </c>
      <c r="T25">
        <f t="shared" si="35"/>
        <v>8395.7999999999993</v>
      </c>
      <c r="U25">
        <v>1024</v>
      </c>
      <c r="V25">
        <f t="shared" si="36"/>
        <v>9630</v>
      </c>
      <c r="W25">
        <v>1124</v>
      </c>
      <c r="X25">
        <f t="shared" si="37"/>
        <v>10873</v>
      </c>
    </row>
    <row r="26" spans="1:24" x14ac:dyDescent="0.3">
      <c r="A26">
        <v>25</v>
      </c>
      <c r="B26">
        <f t="shared" si="27"/>
        <v>38.5</v>
      </c>
      <c r="C26">
        <v>125</v>
      </c>
      <c r="D26">
        <f t="shared" si="28"/>
        <v>470.5</v>
      </c>
      <c r="E26">
        <v>225</v>
      </c>
      <c r="F26">
        <f t="shared" si="26"/>
        <v>1125</v>
      </c>
      <c r="G26">
        <v>325</v>
      </c>
      <c r="H26">
        <f t="shared" si="29"/>
        <v>1919.5</v>
      </c>
      <c r="I26">
        <v>425</v>
      </c>
      <c r="J26">
        <f t="shared" si="30"/>
        <v>2830</v>
      </c>
      <c r="K26">
        <v>525</v>
      </c>
      <c r="L26">
        <f t="shared" si="31"/>
        <v>3830</v>
      </c>
      <c r="M26">
        <v>625</v>
      </c>
      <c r="N26">
        <f t="shared" si="32"/>
        <v>4901</v>
      </c>
      <c r="O26">
        <v>725</v>
      </c>
      <c r="P26">
        <f t="shared" si="33"/>
        <v>6028.5</v>
      </c>
      <c r="Q26">
        <v>825</v>
      </c>
      <c r="R26">
        <f t="shared" si="34"/>
        <v>7201.5</v>
      </c>
      <c r="S26">
        <v>925</v>
      </c>
      <c r="T26">
        <f t="shared" si="35"/>
        <v>8408</v>
      </c>
      <c r="U26">
        <v>1025</v>
      </c>
      <c r="V26">
        <f t="shared" si="36"/>
        <v>9643</v>
      </c>
      <c r="W26">
        <v>1125</v>
      </c>
      <c r="X26">
        <f t="shared" si="37"/>
        <v>10885.5</v>
      </c>
    </row>
    <row r="27" spans="1:24" x14ac:dyDescent="0.3">
      <c r="A27">
        <v>26</v>
      </c>
      <c r="B27">
        <f t="shared" si="27"/>
        <v>41</v>
      </c>
      <c r="C27">
        <v>126</v>
      </c>
      <c r="D27">
        <f t="shared" si="28"/>
        <v>476</v>
      </c>
      <c r="E27">
        <v>226</v>
      </c>
      <c r="F27">
        <f t="shared" si="26"/>
        <v>1133.2</v>
      </c>
      <c r="G27">
        <v>326</v>
      </c>
      <c r="H27">
        <f t="shared" si="29"/>
        <v>1928</v>
      </c>
      <c r="I27">
        <v>426</v>
      </c>
      <c r="J27">
        <f t="shared" si="30"/>
        <v>2839.6</v>
      </c>
      <c r="K27">
        <v>526</v>
      </c>
      <c r="L27">
        <f t="shared" si="31"/>
        <v>3840.4</v>
      </c>
      <c r="M27">
        <v>626</v>
      </c>
      <c r="N27">
        <f t="shared" si="32"/>
        <v>4912</v>
      </c>
      <c r="O27">
        <v>726</v>
      </c>
      <c r="P27">
        <f t="shared" si="33"/>
        <v>6040</v>
      </c>
      <c r="Q27">
        <v>826</v>
      </c>
      <c r="R27">
        <f t="shared" si="34"/>
        <v>7213.4</v>
      </c>
      <c r="S27">
        <v>926</v>
      </c>
      <c r="T27">
        <f t="shared" si="35"/>
        <v>8420.2000000000007</v>
      </c>
      <c r="U27">
        <v>1026</v>
      </c>
      <c r="V27">
        <f t="shared" si="36"/>
        <v>9656</v>
      </c>
      <c r="W27">
        <v>1126</v>
      </c>
      <c r="X27">
        <f t="shared" si="37"/>
        <v>10898</v>
      </c>
    </row>
    <row r="28" spans="1:24" x14ac:dyDescent="0.3">
      <c r="A28">
        <v>27</v>
      </c>
      <c r="B28">
        <f t="shared" si="27"/>
        <v>43.5</v>
      </c>
      <c r="C28">
        <v>127</v>
      </c>
      <c r="D28">
        <f t="shared" si="28"/>
        <v>481.5</v>
      </c>
      <c r="E28">
        <v>227</v>
      </c>
      <c r="F28">
        <f t="shared" si="26"/>
        <v>1141.4000000000001</v>
      </c>
      <c r="G28">
        <v>327</v>
      </c>
      <c r="H28">
        <f t="shared" si="29"/>
        <v>1936.5</v>
      </c>
      <c r="I28">
        <v>427</v>
      </c>
      <c r="J28">
        <f t="shared" si="30"/>
        <v>2849.2</v>
      </c>
      <c r="K28">
        <v>527</v>
      </c>
      <c r="L28">
        <f t="shared" si="31"/>
        <v>3850.8</v>
      </c>
      <c r="M28">
        <v>627</v>
      </c>
      <c r="N28">
        <f t="shared" si="32"/>
        <v>4923</v>
      </c>
      <c r="O28">
        <v>727</v>
      </c>
      <c r="P28">
        <f t="shared" si="33"/>
        <v>6051.5</v>
      </c>
      <c r="Q28">
        <v>827</v>
      </c>
      <c r="R28">
        <f t="shared" si="34"/>
        <v>7225.3</v>
      </c>
      <c r="S28">
        <v>927</v>
      </c>
      <c r="T28">
        <f t="shared" si="35"/>
        <v>8432.4</v>
      </c>
      <c r="U28">
        <v>1027</v>
      </c>
      <c r="V28">
        <f t="shared" si="36"/>
        <v>9669</v>
      </c>
      <c r="W28">
        <v>1127</v>
      </c>
      <c r="X28">
        <f t="shared" si="37"/>
        <v>10910.5</v>
      </c>
    </row>
    <row r="29" spans="1:24" x14ac:dyDescent="0.3">
      <c r="A29">
        <v>28</v>
      </c>
      <c r="B29">
        <f t="shared" si="27"/>
        <v>46</v>
      </c>
      <c r="C29">
        <v>128</v>
      </c>
      <c r="D29">
        <f t="shared" si="28"/>
        <v>487</v>
      </c>
      <c r="E29">
        <v>228</v>
      </c>
      <c r="F29">
        <f t="shared" si="26"/>
        <v>1149.5999999999999</v>
      </c>
      <c r="G29">
        <v>328</v>
      </c>
      <c r="H29">
        <f t="shared" si="29"/>
        <v>1945</v>
      </c>
      <c r="I29">
        <v>428</v>
      </c>
      <c r="J29">
        <f t="shared" si="30"/>
        <v>2858.8</v>
      </c>
      <c r="K29">
        <v>528</v>
      </c>
      <c r="L29">
        <f t="shared" si="31"/>
        <v>3861.2</v>
      </c>
      <c r="M29">
        <v>628</v>
      </c>
      <c r="N29">
        <f t="shared" si="32"/>
        <v>4934</v>
      </c>
      <c r="O29">
        <v>728</v>
      </c>
      <c r="P29">
        <f t="shared" si="33"/>
        <v>6063</v>
      </c>
      <c r="Q29">
        <v>828</v>
      </c>
      <c r="R29">
        <f t="shared" si="34"/>
        <v>7237.2</v>
      </c>
      <c r="S29">
        <v>928</v>
      </c>
      <c r="T29">
        <f t="shared" si="35"/>
        <v>8444.6</v>
      </c>
      <c r="U29">
        <v>1028</v>
      </c>
      <c r="V29">
        <f t="shared" si="36"/>
        <v>9682</v>
      </c>
      <c r="W29">
        <v>1128</v>
      </c>
      <c r="X29">
        <f t="shared" si="37"/>
        <v>10923</v>
      </c>
    </row>
    <row r="30" spans="1:24" x14ac:dyDescent="0.3">
      <c r="A30">
        <v>29</v>
      </c>
      <c r="B30">
        <f t="shared" si="27"/>
        <v>48.5</v>
      </c>
      <c r="C30">
        <v>128</v>
      </c>
      <c r="D30">
        <f t="shared" si="28"/>
        <v>487</v>
      </c>
      <c r="E30">
        <v>229</v>
      </c>
      <c r="F30">
        <f t="shared" si="26"/>
        <v>1157.8</v>
      </c>
      <c r="G30">
        <v>329</v>
      </c>
      <c r="H30">
        <f t="shared" si="29"/>
        <v>1953.5</v>
      </c>
      <c r="I30">
        <v>428</v>
      </c>
      <c r="J30">
        <f t="shared" si="30"/>
        <v>2858.8</v>
      </c>
      <c r="K30">
        <v>528</v>
      </c>
      <c r="L30">
        <f t="shared" si="31"/>
        <v>3861.2</v>
      </c>
      <c r="M30">
        <v>629</v>
      </c>
      <c r="N30">
        <f t="shared" si="32"/>
        <v>4945</v>
      </c>
      <c r="O30">
        <v>728</v>
      </c>
      <c r="P30">
        <f t="shared" si="33"/>
        <v>6063</v>
      </c>
      <c r="Q30">
        <v>829</v>
      </c>
      <c r="R30">
        <f t="shared" si="34"/>
        <v>7249.1</v>
      </c>
      <c r="S30">
        <v>929</v>
      </c>
      <c r="T30">
        <f t="shared" si="35"/>
        <v>8456.7999999999993</v>
      </c>
      <c r="U30">
        <v>1029</v>
      </c>
      <c r="V30">
        <f t="shared" si="36"/>
        <v>9695</v>
      </c>
      <c r="W30">
        <v>1129</v>
      </c>
      <c r="X30">
        <f t="shared" si="37"/>
        <v>10935.5</v>
      </c>
    </row>
    <row r="31" spans="1:24" x14ac:dyDescent="0.3">
      <c r="A31">
        <v>30</v>
      </c>
      <c r="B31">
        <v>56</v>
      </c>
      <c r="C31">
        <v>130</v>
      </c>
      <c r="D31">
        <v>498</v>
      </c>
      <c r="E31">
        <v>230</v>
      </c>
      <c r="F31">
        <v>1184</v>
      </c>
      <c r="G31">
        <v>330</v>
      </c>
      <c r="H31">
        <f>1626+((1708-1626)/10)*(G31-290)</f>
        <v>1954</v>
      </c>
      <c r="I31">
        <v>430</v>
      </c>
      <c r="J31">
        <v>2878</v>
      </c>
      <c r="K31">
        <v>530</v>
      </c>
      <c r="L31">
        <v>3882</v>
      </c>
      <c r="M31">
        <v>630</v>
      </c>
      <c r="N31">
        <v>4956</v>
      </c>
      <c r="O31">
        <v>730</v>
      </c>
      <c r="P31">
        <f t="shared" si="33"/>
        <v>6086</v>
      </c>
      <c r="Q31">
        <v>830</v>
      </c>
      <c r="R31">
        <v>7261</v>
      </c>
      <c r="S31">
        <v>930</v>
      </c>
      <c r="T31">
        <f t="shared" ref="T31" si="38">289+((338-242)/10)*(S31-90)</f>
        <v>8353</v>
      </c>
      <c r="U31">
        <v>1030</v>
      </c>
      <c r="V31">
        <f t="shared" si="36"/>
        <v>9708</v>
      </c>
      <c r="W31">
        <v>1130</v>
      </c>
      <c r="X31">
        <f t="shared" si="37"/>
        <v>10948</v>
      </c>
    </row>
    <row r="32" spans="1:24" x14ac:dyDescent="0.3">
      <c r="A32">
        <v>31</v>
      </c>
      <c r="B32">
        <f>56+((86-56)/10)*(A30-30)</f>
        <v>53</v>
      </c>
      <c r="C32">
        <v>131</v>
      </c>
      <c r="D32">
        <f>498+((557-498)/10)*(C32-130)</f>
        <v>503.9</v>
      </c>
      <c r="E32">
        <v>231</v>
      </c>
      <c r="F32">
        <f t="shared" ref="F32:F41" si="39">1084+((1166-1084)/10)*(E32-230)</f>
        <v>1092.2</v>
      </c>
      <c r="G32">
        <v>331</v>
      </c>
      <c r="H32">
        <f>1962+((2050-1962)/10)*(G32-330)</f>
        <v>1970.8</v>
      </c>
      <c r="I32">
        <v>431</v>
      </c>
      <c r="J32">
        <f t="shared" ref="J32:J40" si="40">2878+((2975-2878)/10)*(I32-430)</f>
        <v>2887.7</v>
      </c>
      <c r="K32">
        <v>531</v>
      </c>
      <c r="L32">
        <f t="shared" ref="L32:L41" si="41">3882+((3986-3882)/10)*(K32-530)</f>
        <v>3892.4</v>
      </c>
      <c r="M32">
        <v>631</v>
      </c>
      <c r="N32">
        <f t="shared" ref="N32:N40" si="42">4956+((5067-4956)/10)*(M32-630)</f>
        <v>4967.1000000000004</v>
      </c>
      <c r="O32">
        <v>731</v>
      </c>
      <c r="P32">
        <f t="shared" si="33"/>
        <v>6097.5</v>
      </c>
      <c r="Q32">
        <v>831</v>
      </c>
      <c r="R32">
        <f t="shared" ref="R32:R41" si="43">7261+((7381-7261)/10)*(Q32-830)</f>
        <v>7273</v>
      </c>
      <c r="S32">
        <v>931</v>
      </c>
      <c r="T32">
        <f t="shared" si="35"/>
        <v>8481.2000000000007</v>
      </c>
      <c r="U32">
        <v>1031</v>
      </c>
      <c r="V32">
        <f t="shared" si="36"/>
        <v>9721</v>
      </c>
      <c r="W32">
        <v>1131</v>
      </c>
      <c r="X32">
        <f t="shared" si="37"/>
        <v>10960.5</v>
      </c>
    </row>
    <row r="33" spans="1:24" x14ac:dyDescent="0.3">
      <c r="A33">
        <v>32</v>
      </c>
      <c r="B33">
        <f>56+((86-56)/10)*(A31-30)</f>
        <v>56</v>
      </c>
      <c r="C33">
        <v>132</v>
      </c>
      <c r="D33">
        <f t="shared" ref="D33:D40" si="44">498+((557-498)/10)*(C33-130)</f>
        <v>509.8</v>
      </c>
      <c r="E33">
        <v>232</v>
      </c>
      <c r="F33">
        <f t="shared" si="39"/>
        <v>1100.4000000000001</v>
      </c>
      <c r="G33">
        <v>332</v>
      </c>
      <c r="H33">
        <f t="shared" ref="H33:H41" si="45">1962+((2050-1962)/10)*(G33-330)</f>
        <v>1979.6</v>
      </c>
      <c r="I33">
        <v>432</v>
      </c>
      <c r="J33">
        <f t="shared" si="40"/>
        <v>2897.4</v>
      </c>
      <c r="K33">
        <v>532</v>
      </c>
      <c r="L33">
        <f t="shared" si="41"/>
        <v>3902.8</v>
      </c>
      <c r="M33">
        <v>632</v>
      </c>
      <c r="N33">
        <f t="shared" si="42"/>
        <v>4978.2</v>
      </c>
      <c r="O33">
        <v>732</v>
      </c>
      <c r="P33">
        <f t="shared" si="33"/>
        <v>6109</v>
      </c>
      <c r="Q33">
        <v>832</v>
      </c>
      <c r="R33">
        <f t="shared" si="43"/>
        <v>7285</v>
      </c>
      <c r="S33">
        <v>932</v>
      </c>
      <c r="T33">
        <f t="shared" si="35"/>
        <v>8493.4</v>
      </c>
      <c r="U33">
        <v>1032</v>
      </c>
      <c r="V33">
        <f t="shared" si="36"/>
        <v>9734</v>
      </c>
      <c r="W33">
        <v>1132</v>
      </c>
      <c r="X33">
        <f t="shared" ref="X33:X40" si="46">10648+((11073-10948)/10)*(W33-1130)</f>
        <v>10673</v>
      </c>
    </row>
    <row r="34" spans="1:24" x14ac:dyDescent="0.3">
      <c r="A34">
        <v>33</v>
      </c>
      <c r="B34">
        <f>56+((86-56)/10)*(A32-30)</f>
        <v>59</v>
      </c>
      <c r="C34">
        <v>133</v>
      </c>
      <c r="D34">
        <f t="shared" si="44"/>
        <v>515.70000000000005</v>
      </c>
      <c r="E34">
        <v>233</v>
      </c>
      <c r="F34">
        <f t="shared" si="39"/>
        <v>1108.5999999999999</v>
      </c>
      <c r="G34">
        <v>333</v>
      </c>
      <c r="H34">
        <f t="shared" si="45"/>
        <v>1988.4</v>
      </c>
      <c r="I34">
        <v>433</v>
      </c>
      <c r="J34">
        <f t="shared" si="40"/>
        <v>2907.1</v>
      </c>
      <c r="K34">
        <v>533</v>
      </c>
      <c r="L34">
        <f t="shared" si="41"/>
        <v>3913.2</v>
      </c>
      <c r="M34">
        <v>633</v>
      </c>
      <c r="N34">
        <f t="shared" si="42"/>
        <v>4989.3</v>
      </c>
      <c r="O34">
        <v>733</v>
      </c>
      <c r="P34">
        <f t="shared" si="33"/>
        <v>6120.5</v>
      </c>
      <c r="Q34">
        <v>833</v>
      </c>
      <c r="R34">
        <f t="shared" si="43"/>
        <v>7297</v>
      </c>
      <c r="S34">
        <v>933</v>
      </c>
      <c r="T34">
        <f t="shared" si="35"/>
        <v>8505.6</v>
      </c>
      <c r="U34">
        <v>1033</v>
      </c>
      <c r="V34">
        <f t="shared" si="36"/>
        <v>9747</v>
      </c>
      <c r="W34">
        <v>1133</v>
      </c>
      <c r="X34">
        <f t="shared" si="46"/>
        <v>10685.5</v>
      </c>
    </row>
    <row r="35" spans="1:24" x14ac:dyDescent="0.3">
      <c r="A35">
        <v>34</v>
      </c>
      <c r="B35">
        <f>56+((86-56)/10)*(A33-30)</f>
        <v>62</v>
      </c>
      <c r="C35">
        <v>134</v>
      </c>
      <c r="D35">
        <f t="shared" si="44"/>
        <v>521.6</v>
      </c>
      <c r="E35">
        <v>234</v>
      </c>
      <c r="F35">
        <f t="shared" si="39"/>
        <v>1116.8</v>
      </c>
      <c r="G35">
        <v>334</v>
      </c>
      <c r="H35">
        <f t="shared" si="45"/>
        <v>1997.2</v>
      </c>
      <c r="I35">
        <v>434</v>
      </c>
      <c r="J35">
        <f t="shared" si="40"/>
        <v>2916.8</v>
      </c>
      <c r="K35">
        <v>534</v>
      </c>
      <c r="L35">
        <f t="shared" si="41"/>
        <v>3923.6</v>
      </c>
      <c r="M35">
        <v>634</v>
      </c>
      <c r="N35">
        <f t="shared" si="42"/>
        <v>5000.3999999999996</v>
      </c>
      <c r="O35">
        <v>734</v>
      </c>
      <c r="P35">
        <f t="shared" si="33"/>
        <v>6132</v>
      </c>
      <c r="Q35">
        <v>834</v>
      </c>
      <c r="R35">
        <f t="shared" si="43"/>
        <v>7309</v>
      </c>
      <c r="S35">
        <v>934</v>
      </c>
      <c r="T35">
        <f t="shared" si="35"/>
        <v>8517.7999999999993</v>
      </c>
      <c r="U35">
        <v>1034</v>
      </c>
      <c r="V35">
        <f t="shared" si="36"/>
        <v>9760</v>
      </c>
      <c r="W35">
        <v>1134</v>
      </c>
      <c r="X35">
        <f t="shared" si="46"/>
        <v>10698</v>
      </c>
    </row>
    <row r="36" spans="1:24" x14ac:dyDescent="0.3">
      <c r="A36">
        <v>35</v>
      </c>
      <c r="B36">
        <f>56+((86-56)/10)*(A35-30)</f>
        <v>68</v>
      </c>
      <c r="C36">
        <v>135</v>
      </c>
      <c r="D36">
        <f t="shared" si="44"/>
        <v>527.5</v>
      </c>
      <c r="E36">
        <v>235</v>
      </c>
      <c r="F36">
        <f t="shared" si="39"/>
        <v>1125</v>
      </c>
      <c r="G36">
        <v>335</v>
      </c>
      <c r="H36">
        <f t="shared" si="45"/>
        <v>2006</v>
      </c>
      <c r="I36">
        <v>435</v>
      </c>
      <c r="J36">
        <f t="shared" si="40"/>
        <v>2926.5</v>
      </c>
      <c r="K36">
        <v>535</v>
      </c>
      <c r="L36">
        <f t="shared" si="41"/>
        <v>3934</v>
      </c>
      <c r="M36">
        <v>635</v>
      </c>
      <c r="N36">
        <f t="shared" si="42"/>
        <v>5011.5</v>
      </c>
      <c r="O36">
        <v>735</v>
      </c>
      <c r="P36">
        <f t="shared" si="33"/>
        <v>6143.5</v>
      </c>
      <c r="Q36">
        <v>835</v>
      </c>
      <c r="R36">
        <f t="shared" si="43"/>
        <v>7321</v>
      </c>
      <c r="S36">
        <v>935</v>
      </c>
      <c r="T36">
        <f t="shared" si="35"/>
        <v>8530</v>
      </c>
      <c r="U36">
        <v>1035</v>
      </c>
      <c r="V36">
        <f t="shared" si="36"/>
        <v>9773</v>
      </c>
      <c r="W36">
        <v>1135</v>
      </c>
      <c r="X36">
        <f t="shared" si="46"/>
        <v>10710.5</v>
      </c>
    </row>
    <row r="37" spans="1:24" x14ac:dyDescent="0.3">
      <c r="A37">
        <v>36</v>
      </c>
      <c r="B37">
        <f>56+((86-56)/10)*(A34-30)</f>
        <v>65</v>
      </c>
      <c r="C37">
        <v>136</v>
      </c>
      <c r="D37">
        <f t="shared" si="44"/>
        <v>533.4</v>
      </c>
      <c r="E37">
        <v>236</v>
      </c>
      <c r="F37">
        <f t="shared" si="39"/>
        <v>1133.2</v>
      </c>
      <c r="G37">
        <v>336</v>
      </c>
      <c r="H37">
        <f t="shared" si="45"/>
        <v>2014.8</v>
      </c>
      <c r="I37">
        <v>436</v>
      </c>
      <c r="J37">
        <f t="shared" si="40"/>
        <v>2936.2</v>
      </c>
      <c r="K37">
        <v>536</v>
      </c>
      <c r="L37">
        <f t="shared" si="41"/>
        <v>3944.4</v>
      </c>
      <c r="M37">
        <v>636</v>
      </c>
      <c r="N37">
        <f t="shared" si="42"/>
        <v>5022.6000000000004</v>
      </c>
      <c r="O37">
        <v>736</v>
      </c>
      <c r="P37">
        <f t="shared" si="33"/>
        <v>6155</v>
      </c>
      <c r="Q37">
        <v>836</v>
      </c>
      <c r="R37">
        <f t="shared" si="43"/>
        <v>7333</v>
      </c>
      <c r="S37">
        <v>936</v>
      </c>
      <c r="T37">
        <f t="shared" si="35"/>
        <v>8542.2000000000007</v>
      </c>
      <c r="U37">
        <v>1036</v>
      </c>
      <c r="V37">
        <f t="shared" si="36"/>
        <v>9786</v>
      </c>
      <c r="W37">
        <v>1136</v>
      </c>
      <c r="X37">
        <f t="shared" si="46"/>
        <v>10723</v>
      </c>
    </row>
    <row r="38" spans="1:24" x14ac:dyDescent="0.3">
      <c r="C38">
        <v>137</v>
      </c>
      <c r="D38">
        <f t="shared" si="44"/>
        <v>539.29999999999995</v>
      </c>
      <c r="E38">
        <v>237</v>
      </c>
      <c r="F38">
        <f t="shared" si="39"/>
        <v>1141.4000000000001</v>
      </c>
      <c r="G38">
        <v>337</v>
      </c>
      <c r="H38">
        <f t="shared" si="45"/>
        <v>2023.6</v>
      </c>
      <c r="I38">
        <v>437</v>
      </c>
      <c r="J38">
        <f t="shared" si="40"/>
        <v>2945.9</v>
      </c>
      <c r="K38">
        <v>537</v>
      </c>
      <c r="L38">
        <f t="shared" si="41"/>
        <v>3954.8</v>
      </c>
      <c r="M38">
        <v>637</v>
      </c>
      <c r="N38">
        <f t="shared" si="42"/>
        <v>5033.7</v>
      </c>
      <c r="O38">
        <v>737</v>
      </c>
      <c r="P38">
        <f t="shared" si="33"/>
        <v>6166.5</v>
      </c>
      <c r="Q38">
        <v>837</v>
      </c>
      <c r="R38">
        <f t="shared" si="43"/>
        <v>7345</v>
      </c>
      <c r="S38">
        <v>937</v>
      </c>
      <c r="T38">
        <f t="shared" si="35"/>
        <v>8554.4</v>
      </c>
      <c r="U38">
        <v>1037</v>
      </c>
      <c r="V38">
        <f>9708+((9826-9708)/10)*(U38-1030)</f>
        <v>9790.6</v>
      </c>
      <c r="W38">
        <v>1137</v>
      </c>
      <c r="X38">
        <f t="shared" si="46"/>
        <v>10735.5</v>
      </c>
    </row>
    <row r="39" spans="1:24" x14ac:dyDescent="0.3">
      <c r="C39">
        <v>138</v>
      </c>
      <c r="D39">
        <f t="shared" si="44"/>
        <v>545.20000000000005</v>
      </c>
      <c r="E39">
        <v>238</v>
      </c>
      <c r="F39">
        <f t="shared" si="39"/>
        <v>1149.5999999999999</v>
      </c>
      <c r="G39">
        <v>338</v>
      </c>
      <c r="H39">
        <f t="shared" si="45"/>
        <v>2032.4</v>
      </c>
      <c r="I39">
        <v>438</v>
      </c>
      <c r="J39">
        <f t="shared" si="40"/>
        <v>2955.6</v>
      </c>
      <c r="K39">
        <v>538</v>
      </c>
      <c r="L39">
        <f t="shared" si="41"/>
        <v>3965.2</v>
      </c>
      <c r="M39">
        <v>638</v>
      </c>
      <c r="N39">
        <f t="shared" si="42"/>
        <v>5044.8</v>
      </c>
      <c r="O39">
        <v>738</v>
      </c>
      <c r="P39">
        <f t="shared" si="33"/>
        <v>6178</v>
      </c>
      <c r="Q39">
        <v>838</v>
      </c>
      <c r="R39">
        <f t="shared" si="43"/>
        <v>7357</v>
      </c>
      <c r="S39">
        <v>938</v>
      </c>
      <c r="T39">
        <f>8467+((8592-8469)/10)*(S39-930)</f>
        <v>8565.4</v>
      </c>
      <c r="U39">
        <v>1038</v>
      </c>
      <c r="V39">
        <f>9708+((9826-9708)/10)*(U39-1030)</f>
        <v>9802.4</v>
      </c>
      <c r="W39">
        <v>1138</v>
      </c>
      <c r="X39">
        <f t="shared" si="46"/>
        <v>10748</v>
      </c>
    </row>
    <row r="40" spans="1:24" x14ac:dyDescent="0.3">
      <c r="C40">
        <v>139</v>
      </c>
      <c r="D40">
        <f t="shared" si="44"/>
        <v>551.1</v>
      </c>
      <c r="E40">
        <v>239</v>
      </c>
      <c r="F40">
        <f t="shared" si="39"/>
        <v>1157.8</v>
      </c>
      <c r="G40">
        <v>339</v>
      </c>
      <c r="H40">
        <f t="shared" si="45"/>
        <v>2041.2</v>
      </c>
      <c r="I40">
        <v>439</v>
      </c>
      <c r="J40">
        <f t="shared" si="40"/>
        <v>2965.3</v>
      </c>
      <c r="K40">
        <v>539</v>
      </c>
      <c r="L40">
        <f t="shared" si="41"/>
        <v>3975.6</v>
      </c>
      <c r="M40">
        <v>639</v>
      </c>
      <c r="N40">
        <f t="shared" si="42"/>
        <v>5055.8999999999996</v>
      </c>
      <c r="O40">
        <v>739</v>
      </c>
      <c r="P40">
        <f t="shared" si="33"/>
        <v>6189.5</v>
      </c>
      <c r="Q40">
        <v>839</v>
      </c>
      <c r="R40">
        <f t="shared" si="43"/>
        <v>7369</v>
      </c>
      <c r="S40">
        <v>939</v>
      </c>
      <c r="T40">
        <f>8467+((8592-8469)/10)*(S40-930)</f>
        <v>8577.7000000000007</v>
      </c>
      <c r="U40">
        <v>1039</v>
      </c>
      <c r="V40">
        <f>9708+((9826-9708)/10)*(U40-1030)</f>
        <v>9814.2000000000007</v>
      </c>
      <c r="W40">
        <v>1139</v>
      </c>
      <c r="X40">
        <f t="shared" si="46"/>
        <v>10760.5</v>
      </c>
    </row>
    <row r="41" spans="1:24" x14ac:dyDescent="0.3">
      <c r="C41">
        <v>140</v>
      </c>
      <c r="D41">
        <f t="shared" ref="D41" si="47">498+((616-498)/20)*(C41-130)</f>
        <v>557</v>
      </c>
      <c r="E41">
        <v>240</v>
      </c>
      <c r="F41">
        <f t="shared" si="39"/>
        <v>1166</v>
      </c>
      <c r="G41">
        <v>340</v>
      </c>
      <c r="H41">
        <f t="shared" si="45"/>
        <v>2050</v>
      </c>
      <c r="I41">
        <v>440</v>
      </c>
      <c r="J41">
        <v>2975</v>
      </c>
      <c r="K41">
        <v>540</v>
      </c>
      <c r="L41">
        <f t="shared" si="41"/>
        <v>3986</v>
      </c>
      <c r="M41">
        <v>640</v>
      </c>
      <c r="N41">
        <v>5067</v>
      </c>
      <c r="O41">
        <v>740</v>
      </c>
      <c r="P41">
        <v>6086</v>
      </c>
      <c r="Q41">
        <v>840</v>
      </c>
      <c r="R41" s="21">
        <f t="shared" si="43"/>
        <v>7381</v>
      </c>
      <c r="S41">
        <v>940</v>
      </c>
      <c r="T41">
        <v>8592</v>
      </c>
      <c r="U41">
        <v>1040</v>
      </c>
      <c r="V41">
        <v>9826</v>
      </c>
      <c r="W41">
        <v>1140</v>
      </c>
      <c r="X41">
        <v>11073</v>
      </c>
    </row>
    <row r="42" spans="1:24" x14ac:dyDescent="0.3">
      <c r="C42">
        <v>141</v>
      </c>
      <c r="D42">
        <f>557+((616-557)/10)*(C42-140)</f>
        <v>562.9</v>
      </c>
      <c r="E42">
        <v>241</v>
      </c>
      <c r="F42">
        <f t="shared" ref="F42:F50" si="48">1084+((1166-1084)/10)*(E42-240)</f>
        <v>1092.2</v>
      </c>
      <c r="G42">
        <v>341</v>
      </c>
      <c r="H42">
        <f>2138+((2138-2050)/10)*(G42-340)</f>
        <v>2146.8000000000002</v>
      </c>
      <c r="I42">
        <v>441</v>
      </c>
      <c r="J42">
        <f>2975+((3073-2975)/10)*(I42-440)</f>
        <v>2984.8</v>
      </c>
      <c r="K42">
        <v>541</v>
      </c>
      <c r="L42">
        <f>3986+((4092-3986)/10)*(K42-540)</f>
        <v>3996.6</v>
      </c>
      <c r="M42">
        <v>641</v>
      </c>
      <c r="N42">
        <f t="shared" ref="N42:N50" si="49">5067+((5178-5067)/10)*(M42-640)</f>
        <v>5078.1000000000004</v>
      </c>
      <c r="O42">
        <v>741</v>
      </c>
      <c r="P42">
        <f>6202+((6318-6202)/10)*(O42-740)</f>
        <v>6213.6</v>
      </c>
      <c r="Q42">
        <v>841</v>
      </c>
      <c r="R42">
        <f>7381+((7500-7381)/10)*(Q42-840)</f>
        <v>7392.9</v>
      </c>
      <c r="S42">
        <v>941</v>
      </c>
      <c r="T42">
        <f>8592+((8714-8592)/10)*(S42-940)</f>
        <v>8604.2000000000007</v>
      </c>
      <c r="U42">
        <v>1041</v>
      </c>
      <c r="V42">
        <f>9826+((9950-9826)/10)*(U42-1040)</f>
        <v>9838.4</v>
      </c>
      <c r="W42">
        <v>1141</v>
      </c>
      <c r="X42">
        <f>11073+((11199-11073)/10)*(W42-1140)</f>
        <v>11085.6</v>
      </c>
    </row>
    <row r="43" spans="1:24" x14ac:dyDescent="0.3">
      <c r="A43">
        <v>42</v>
      </c>
      <c r="B43">
        <f t="shared" ref="B43:B50" si="50">86+((120-86)/10)*(A43-40)</f>
        <v>92.8</v>
      </c>
      <c r="C43">
        <v>142</v>
      </c>
      <c r="D43">
        <f t="shared" ref="D43:D50" si="51">557+((616-557)/10)*(C43-140)</f>
        <v>568.79999999999995</v>
      </c>
      <c r="E43">
        <v>242</v>
      </c>
      <c r="F43">
        <f t="shared" si="48"/>
        <v>1100.4000000000001</v>
      </c>
      <c r="G43">
        <v>342</v>
      </c>
      <c r="H43">
        <f t="shared" ref="H43:H50" si="52">2138+((2138-2050)/10)*(G43-340)</f>
        <v>2155.6</v>
      </c>
      <c r="I43">
        <v>442</v>
      </c>
      <c r="J43">
        <f t="shared" ref="J43:J50" si="53">2975+((3073-2975)/10)*(I43-440)</f>
        <v>2994.6</v>
      </c>
      <c r="K43">
        <v>542</v>
      </c>
      <c r="L43">
        <f>3986+((4092-3986)/10)*(K43-540)</f>
        <v>4007.2</v>
      </c>
      <c r="M43">
        <v>642</v>
      </c>
      <c r="N43">
        <f t="shared" si="49"/>
        <v>5089.2</v>
      </c>
      <c r="O43">
        <v>742</v>
      </c>
      <c r="P43">
        <f t="shared" ref="P43:P50" si="54">6202+((6318-6202)/10)*(O43-740)</f>
        <v>6225.2</v>
      </c>
      <c r="Q43">
        <v>842</v>
      </c>
      <c r="R43">
        <f t="shared" ref="R43:R50" si="55">7381+((7500-7381)/10)*(Q43-840)</f>
        <v>7404.8</v>
      </c>
      <c r="S43">
        <v>942</v>
      </c>
      <c r="T43">
        <f t="shared" ref="T43:T50" si="56">8592+((8714-8592)/10)*(S43-940)</f>
        <v>8616.4</v>
      </c>
      <c r="U43">
        <v>1042</v>
      </c>
      <c r="V43">
        <f t="shared" ref="V43:V50" si="57">9826+((9950-9826)/10)*(U43-1040)</f>
        <v>9850.7999999999993</v>
      </c>
      <c r="W43">
        <v>1142</v>
      </c>
      <c r="X43">
        <f t="shared" ref="X43:X50" si="58">11073+((11199-11073)/10)*(W43-1140)</f>
        <v>11098.2</v>
      </c>
    </row>
    <row r="44" spans="1:24" x14ac:dyDescent="0.3">
      <c r="A44">
        <v>43</v>
      </c>
      <c r="B44">
        <f t="shared" si="50"/>
        <v>96.2</v>
      </c>
      <c r="C44">
        <v>143</v>
      </c>
      <c r="D44">
        <f t="shared" si="51"/>
        <v>574.70000000000005</v>
      </c>
      <c r="E44">
        <v>243</v>
      </c>
      <c r="F44">
        <f t="shared" si="48"/>
        <v>1108.5999999999999</v>
      </c>
      <c r="G44">
        <v>343</v>
      </c>
      <c r="H44">
        <f t="shared" si="52"/>
        <v>2164.4</v>
      </c>
      <c r="I44">
        <v>443</v>
      </c>
      <c r="J44">
        <f t="shared" si="53"/>
        <v>3004.4</v>
      </c>
      <c r="K44">
        <v>543</v>
      </c>
      <c r="L44">
        <f>3986+((4092-3986)/10)*(K44-540)</f>
        <v>4017.8</v>
      </c>
      <c r="M44">
        <v>643</v>
      </c>
      <c r="N44">
        <f t="shared" si="49"/>
        <v>5100.3</v>
      </c>
      <c r="O44">
        <v>743</v>
      </c>
      <c r="P44">
        <f t="shared" si="54"/>
        <v>6236.8</v>
      </c>
      <c r="Q44">
        <v>843</v>
      </c>
      <c r="R44">
        <f t="shared" si="55"/>
        <v>7416.7</v>
      </c>
      <c r="S44">
        <v>943</v>
      </c>
      <c r="T44">
        <f t="shared" si="56"/>
        <v>8628.6</v>
      </c>
      <c r="U44">
        <v>1043</v>
      </c>
      <c r="V44">
        <f t="shared" si="57"/>
        <v>9863.2000000000007</v>
      </c>
      <c r="W44">
        <v>1143</v>
      </c>
      <c r="X44">
        <f t="shared" si="58"/>
        <v>11110.8</v>
      </c>
    </row>
    <row r="45" spans="1:24" x14ac:dyDescent="0.3">
      <c r="A45">
        <v>44</v>
      </c>
      <c r="B45">
        <f t="shared" si="50"/>
        <v>99.6</v>
      </c>
      <c r="C45">
        <v>144</v>
      </c>
      <c r="D45">
        <f t="shared" si="51"/>
        <v>580.6</v>
      </c>
      <c r="E45">
        <v>244</v>
      </c>
      <c r="F45">
        <f t="shared" si="48"/>
        <v>1116.8</v>
      </c>
      <c r="G45">
        <v>344</v>
      </c>
      <c r="H45">
        <f t="shared" si="52"/>
        <v>2173.1999999999998</v>
      </c>
      <c r="I45">
        <v>444</v>
      </c>
      <c r="J45">
        <f t="shared" si="53"/>
        <v>3014.2</v>
      </c>
      <c r="K45">
        <v>544</v>
      </c>
      <c r="L45">
        <f t="shared" ref="L45:L50" si="59">3986+((4092-3986)/10)*(K45-540)</f>
        <v>4028.4</v>
      </c>
      <c r="M45">
        <v>644</v>
      </c>
      <c r="N45">
        <f>5067+((5178-5067)/10)*(M45-640)</f>
        <v>5111.3999999999996</v>
      </c>
      <c r="O45">
        <v>744</v>
      </c>
      <c r="P45">
        <f t="shared" si="54"/>
        <v>6248.4</v>
      </c>
      <c r="Q45">
        <v>844</v>
      </c>
      <c r="R45">
        <f t="shared" si="55"/>
        <v>7428.6</v>
      </c>
      <c r="S45">
        <v>944</v>
      </c>
      <c r="T45">
        <f t="shared" si="56"/>
        <v>8640.7999999999993</v>
      </c>
      <c r="U45">
        <v>1044</v>
      </c>
      <c r="V45">
        <f t="shared" si="57"/>
        <v>9875.6</v>
      </c>
      <c r="W45">
        <v>1144</v>
      </c>
      <c r="X45">
        <f t="shared" si="58"/>
        <v>11123.4</v>
      </c>
    </row>
    <row r="46" spans="1:24" x14ac:dyDescent="0.3">
      <c r="A46">
        <v>45</v>
      </c>
      <c r="B46">
        <f t="shared" si="50"/>
        <v>103</v>
      </c>
      <c r="C46">
        <v>145</v>
      </c>
      <c r="D46">
        <f t="shared" si="51"/>
        <v>586.5</v>
      </c>
      <c r="E46">
        <v>245</v>
      </c>
      <c r="F46">
        <f t="shared" si="48"/>
        <v>1125</v>
      </c>
      <c r="G46">
        <v>345</v>
      </c>
      <c r="H46">
        <f t="shared" si="52"/>
        <v>2182</v>
      </c>
      <c r="I46">
        <v>445</v>
      </c>
      <c r="J46">
        <f t="shared" si="53"/>
        <v>3024</v>
      </c>
      <c r="K46">
        <v>545</v>
      </c>
      <c r="L46">
        <f t="shared" si="59"/>
        <v>4039</v>
      </c>
      <c r="M46">
        <v>645</v>
      </c>
      <c r="N46">
        <f t="shared" si="49"/>
        <v>5122.5</v>
      </c>
      <c r="O46">
        <v>745</v>
      </c>
      <c r="P46">
        <f t="shared" si="54"/>
        <v>6260</v>
      </c>
      <c r="Q46">
        <v>845</v>
      </c>
      <c r="R46">
        <f t="shared" si="55"/>
        <v>7440.5</v>
      </c>
      <c r="S46">
        <v>945</v>
      </c>
      <c r="T46">
        <f t="shared" si="56"/>
        <v>8653</v>
      </c>
      <c r="U46">
        <v>1045</v>
      </c>
      <c r="V46">
        <f t="shared" si="57"/>
        <v>9888</v>
      </c>
      <c r="W46">
        <v>1145</v>
      </c>
      <c r="X46">
        <f t="shared" si="58"/>
        <v>11136</v>
      </c>
    </row>
    <row r="47" spans="1:24" x14ac:dyDescent="0.3">
      <c r="A47">
        <v>46</v>
      </c>
      <c r="B47">
        <f t="shared" si="50"/>
        <v>106.4</v>
      </c>
      <c r="C47">
        <v>146</v>
      </c>
      <c r="D47">
        <f t="shared" si="51"/>
        <v>592.4</v>
      </c>
      <c r="E47">
        <v>246</v>
      </c>
      <c r="F47">
        <f t="shared" si="48"/>
        <v>1133.2</v>
      </c>
      <c r="G47">
        <v>346</v>
      </c>
      <c r="H47">
        <f t="shared" si="52"/>
        <v>2190.8000000000002</v>
      </c>
      <c r="I47">
        <v>446</v>
      </c>
      <c r="J47">
        <f t="shared" si="53"/>
        <v>3033.8</v>
      </c>
      <c r="K47">
        <v>546</v>
      </c>
      <c r="L47">
        <f t="shared" si="59"/>
        <v>4049.6</v>
      </c>
      <c r="M47">
        <v>646</v>
      </c>
      <c r="N47">
        <f t="shared" si="49"/>
        <v>5133.6000000000004</v>
      </c>
      <c r="O47">
        <v>746</v>
      </c>
      <c r="P47">
        <f>6202+((6318-6202)/10)*(O47-740)</f>
        <v>6271.6</v>
      </c>
      <c r="Q47">
        <v>846</v>
      </c>
      <c r="R47">
        <f t="shared" si="55"/>
        <v>7452.4</v>
      </c>
      <c r="S47">
        <v>946</v>
      </c>
      <c r="T47">
        <f t="shared" si="56"/>
        <v>8665.2000000000007</v>
      </c>
      <c r="U47">
        <v>1046</v>
      </c>
      <c r="V47">
        <f t="shared" si="57"/>
        <v>9900.4</v>
      </c>
      <c r="W47">
        <v>1146</v>
      </c>
      <c r="X47">
        <f t="shared" si="58"/>
        <v>11148.6</v>
      </c>
    </row>
    <row r="48" spans="1:24" x14ac:dyDescent="0.3">
      <c r="A48">
        <v>47</v>
      </c>
      <c r="B48">
        <f t="shared" si="50"/>
        <v>109.8</v>
      </c>
      <c r="C48">
        <v>147</v>
      </c>
      <c r="D48">
        <f t="shared" si="51"/>
        <v>598.29999999999995</v>
      </c>
      <c r="E48">
        <v>247</v>
      </c>
      <c r="F48">
        <f t="shared" si="48"/>
        <v>1141.4000000000001</v>
      </c>
      <c r="G48">
        <v>347</v>
      </c>
      <c r="H48">
        <f t="shared" si="52"/>
        <v>2199.6</v>
      </c>
      <c r="I48">
        <v>447</v>
      </c>
      <c r="J48">
        <f t="shared" si="53"/>
        <v>3043.6</v>
      </c>
      <c r="K48">
        <v>547</v>
      </c>
      <c r="L48">
        <f t="shared" si="59"/>
        <v>4060.2</v>
      </c>
      <c r="M48">
        <v>647</v>
      </c>
      <c r="N48">
        <f t="shared" si="49"/>
        <v>5144.7</v>
      </c>
      <c r="O48">
        <v>747</v>
      </c>
      <c r="P48">
        <f t="shared" si="54"/>
        <v>6283.2</v>
      </c>
      <c r="Q48">
        <v>847</v>
      </c>
      <c r="R48">
        <f t="shared" si="55"/>
        <v>7464.3</v>
      </c>
      <c r="S48">
        <v>947</v>
      </c>
      <c r="T48">
        <f t="shared" si="56"/>
        <v>8677.4</v>
      </c>
      <c r="U48">
        <v>1047</v>
      </c>
      <c r="V48">
        <f t="shared" si="57"/>
        <v>9912.7999999999993</v>
      </c>
      <c r="W48">
        <v>1147</v>
      </c>
      <c r="X48">
        <f t="shared" si="58"/>
        <v>11161.2</v>
      </c>
    </row>
    <row r="49" spans="1:24" x14ac:dyDescent="0.3">
      <c r="A49">
        <v>48</v>
      </c>
      <c r="B49">
        <f t="shared" si="50"/>
        <v>113.2</v>
      </c>
      <c r="C49">
        <v>148</v>
      </c>
      <c r="D49">
        <f t="shared" si="51"/>
        <v>604.20000000000005</v>
      </c>
      <c r="E49">
        <v>248</v>
      </c>
      <c r="F49">
        <f t="shared" si="48"/>
        <v>1149.5999999999999</v>
      </c>
      <c r="G49">
        <v>348</v>
      </c>
      <c r="H49">
        <f t="shared" si="52"/>
        <v>2208.4</v>
      </c>
      <c r="I49">
        <v>448</v>
      </c>
      <c r="J49">
        <f t="shared" si="53"/>
        <v>3053.4</v>
      </c>
      <c r="K49">
        <v>548</v>
      </c>
      <c r="L49">
        <f t="shared" si="59"/>
        <v>4070.8</v>
      </c>
      <c r="M49">
        <v>648</v>
      </c>
      <c r="N49">
        <f t="shared" si="49"/>
        <v>5155.8</v>
      </c>
      <c r="O49">
        <v>748</v>
      </c>
      <c r="P49">
        <f>6202+((6318-6202)/10)*(O49-740)</f>
        <v>6294.8</v>
      </c>
      <c r="Q49">
        <v>848</v>
      </c>
      <c r="R49">
        <f t="shared" si="55"/>
        <v>7476.2</v>
      </c>
      <c r="S49">
        <v>948</v>
      </c>
      <c r="T49">
        <f t="shared" si="56"/>
        <v>8689.6</v>
      </c>
      <c r="U49">
        <v>1048</v>
      </c>
      <c r="V49">
        <f t="shared" si="57"/>
        <v>9925.2000000000007</v>
      </c>
      <c r="W49">
        <v>1148</v>
      </c>
      <c r="X49">
        <f t="shared" si="58"/>
        <v>11173.8</v>
      </c>
    </row>
    <row r="50" spans="1:24" x14ac:dyDescent="0.3">
      <c r="A50">
        <v>49</v>
      </c>
      <c r="B50">
        <f t="shared" si="50"/>
        <v>116.6</v>
      </c>
      <c r="C50">
        <v>149</v>
      </c>
      <c r="D50">
        <f t="shared" si="51"/>
        <v>610.1</v>
      </c>
      <c r="E50">
        <v>249</v>
      </c>
      <c r="F50">
        <f t="shared" si="48"/>
        <v>1157.8</v>
      </c>
      <c r="G50">
        <v>349</v>
      </c>
      <c r="H50">
        <f t="shared" si="52"/>
        <v>2217.1999999999998</v>
      </c>
      <c r="I50">
        <v>449</v>
      </c>
      <c r="J50">
        <f t="shared" si="53"/>
        <v>3063.2</v>
      </c>
      <c r="K50">
        <v>549</v>
      </c>
      <c r="L50">
        <f t="shared" si="59"/>
        <v>4081.4</v>
      </c>
      <c r="M50">
        <v>649</v>
      </c>
      <c r="N50">
        <f t="shared" si="49"/>
        <v>5166.8999999999996</v>
      </c>
      <c r="O50">
        <v>749</v>
      </c>
      <c r="P50">
        <f t="shared" si="54"/>
        <v>6306.4</v>
      </c>
      <c r="Q50">
        <v>849</v>
      </c>
      <c r="R50">
        <f t="shared" si="55"/>
        <v>7488.1</v>
      </c>
      <c r="S50">
        <v>949</v>
      </c>
      <c r="T50">
        <f t="shared" si="56"/>
        <v>8701.7999999999993</v>
      </c>
      <c r="U50">
        <v>1049</v>
      </c>
      <c r="V50">
        <f t="shared" si="57"/>
        <v>9937.6</v>
      </c>
      <c r="W50">
        <v>1149</v>
      </c>
      <c r="X50">
        <f t="shared" si="58"/>
        <v>11186.4</v>
      </c>
    </row>
    <row r="51" spans="1:24" x14ac:dyDescent="0.3">
      <c r="A51">
        <v>50</v>
      </c>
      <c r="B51">
        <v>120</v>
      </c>
      <c r="C51">
        <v>150</v>
      </c>
      <c r="D51">
        <v>616</v>
      </c>
      <c r="E51">
        <v>250</v>
      </c>
      <c r="F51">
        <f>1084+((1166-1084)/10)*(E51-220)</f>
        <v>1330</v>
      </c>
      <c r="G51">
        <v>350</v>
      </c>
      <c r="H51">
        <v>2138</v>
      </c>
      <c r="I51">
        <v>450</v>
      </c>
      <c r="J51">
        <v>3073</v>
      </c>
      <c r="K51">
        <v>550</v>
      </c>
      <c r="L51">
        <v>4092</v>
      </c>
      <c r="M51">
        <v>650</v>
      </c>
      <c r="N51">
        <v>5178</v>
      </c>
      <c r="O51">
        <v>750</v>
      </c>
      <c r="P51">
        <v>6318</v>
      </c>
      <c r="Q51">
        <v>850</v>
      </c>
      <c r="R51">
        <v>7500</v>
      </c>
      <c r="S51">
        <v>950</v>
      </c>
      <c r="T51">
        <v>8714</v>
      </c>
      <c r="U51">
        <v>1050</v>
      </c>
      <c r="V51">
        <v>9950</v>
      </c>
      <c r="W51">
        <v>1150</v>
      </c>
      <c r="X51">
        <v>11199</v>
      </c>
    </row>
    <row r="52" spans="1:24" x14ac:dyDescent="0.3">
      <c r="A52">
        <v>51</v>
      </c>
      <c r="B52">
        <f>120+((158-120)/10)*(A52-50)</f>
        <v>123.8</v>
      </c>
      <c r="C52">
        <v>151</v>
      </c>
      <c r="D52">
        <f>616+((678-616)/10)*(C52-150)</f>
        <v>622.20000000000005</v>
      </c>
      <c r="E52">
        <v>251</v>
      </c>
      <c r="F52">
        <f>1330+((1386-1330)/10)*(E52-250)</f>
        <v>1335.6</v>
      </c>
      <c r="G52">
        <v>351</v>
      </c>
      <c r="H52">
        <f>2138+((2227-2138)/10)*(G52-350)</f>
        <v>2146.9</v>
      </c>
      <c r="I52">
        <v>451</v>
      </c>
      <c r="J52">
        <f>3073+((3171-3073)/10)*(I52-450)</f>
        <v>3082.8</v>
      </c>
      <c r="K52">
        <v>551</v>
      </c>
      <c r="L52">
        <f>4092+((4197-4092)/10)*(K52-550)</f>
        <v>4102.5</v>
      </c>
      <c r="M52">
        <v>651</v>
      </c>
      <c r="N52">
        <f>5178+((5290-5178)/10)*(M52-650)</f>
        <v>5189.2</v>
      </c>
      <c r="O52">
        <v>751</v>
      </c>
      <c r="P52">
        <f>6318+((6435-6318)/10)*(O52-750)</f>
        <v>6329.7</v>
      </c>
      <c r="Q52">
        <v>851</v>
      </c>
      <c r="R52">
        <f t="shared" ref="R52:R60" si="60">7500+((7621-7500)/10)*(Q52-850)</f>
        <v>7512.1</v>
      </c>
      <c r="S52">
        <v>951</v>
      </c>
      <c r="T52">
        <f>8714+((8837-8714)/10)*(S52-950)</f>
        <v>8726.2999999999993</v>
      </c>
      <c r="U52">
        <v>1051</v>
      </c>
      <c r="V52">
        <f>9950+((10075-9950)/10)*(U52-1050)</f>
        <v>9962.5</v>
      </c>
      <c r="W52">
        <v>1151</v>
      </c>
      <c r="X52">
        <f>11199+((11324-11199)/10)*(W52-1150)</f>
        <v>11211.5</v>
      </c>
    </row>
    <row r="53" spans="1:24" x14ac:dyDescent="0.3">
      <c r="A53">
        <v>52</v>
      </c>
      <c r="B53">
        <f t="shared" ref="B53:B60" si="61">120+((158-120)/10)*(A53-50)</f>
        <v>127.6</v>
      </c>
      <c r="C53">
        <v>152</v>
      </c>
      <c r="D53">
        <f t="shared" ref="D53:D60" si="62">616+((678-616)/10)*(C53-150)</f>
        <v>628.4</v>
      </c>
      <c r="E53">
        <v>252</v>
      </c>
      <c r="F53">
        <f t="shared" ref="F53:F60" si="63">1330+((1386-1330)/10)*(E53-250)</f>
        <v>1341.2</v>
      </c>
      <c r="G53">
        <v>352</v>
      </c>
      <c r="H53">
        <f t="shared" ref="H53:H60" si="64">2138+((2227-2138)/10)*(G53-350)</f>
        <v>2155.8000000000002</v>
      </c>
      <c r="I53">
        <v>452</v>
      </c>
      <c r="J53">
        <f t="shared" ref="J53:J60" si="65">3073+((3171-3073)/10)*(I53-450)</f>
        <v>3092.6</v>
      </c>
      <c r="K53">
        <v>552</v>
      </c>
      <c r="L53">
        <f t="shared" ref="L53:L60" si="66">4092+((4197-4092)/10)*(K53-550)</f>
        <v>4113</v>
      </c>
      <c r="M53">
        <v>652</v>
      </c>
      <c r="N53">
        <f t="shared" ref="N53:N60" si="67">5178+((5290-5178)/10)*(M53-650)</f>
        <v>5200.3999999999996</v>
      </c>
      <c r="O53">
        <v>752</v>
      </c>
      <c r="P53">
        <f t="shared" ref="P53:P60" si="68">6318+((6435-6318)/10)*(O53-750)</f>
        <v>6341.4</v>
      </c>
      <c r="Q53">
        <v>852</v>
      </c>
      <c r="R53">
        <f t="shared" si="60"/>
        <v>7524.2</v>
      </c>
      <c r="S53">
        <v>952</v>
      </c>
      <c r="T53">
        <f t="shared" ref="T53:T60" si="69">8714+((8837-8714)/10)*(S53-950)</f>
        <v>8738.6</v>
      </c>
      <c r="U53">
        <v>1052</v>
      </c>
      <c r="V53">
        <f t="shared" ref="V53:V60" si="70">9950+((10075-9950)/10)*(U53-1050)</f>
        <v>9975</v>
      </c>
      <c r="W53">
        <v>1152</v>
      </c>
      <c r="X53">
        <f t="shared" ref="X53:X60" si="71">11199+((11324-11199)/10)*(W53-1150)</f>
        <v>11224</v>
      </c>
    </row>
    <row r="54" spans="1:24" x14ac:dyDescent="0.3">
      <c r="A54">
        <v>53</v>
      </c>
      <c r="B54">
        <f t="shared" si="61"/>
        <v>131.4</v>
      </c>
      <c r="C54">
        <v>153</v>
      </c>
      <c r="D54">
        <f t="shared" si="62"/>
        <v>634.6</v>
      </c>
      <c r="E54">
        <v>253</v>
      </c>
      <c r="F54">
        <f t="shared" si="63"/>
        <v>1346.8</v>
      </c>
      <c r="G54">
        <v>353</v>
      </c>
      <c r="H54">
        <f t="shared" si="64"/>
        <v>2164.6999999999998</v>
      </c>
      <c r="I54">
        <v>453</v>
      </c>
      <c r="J54">
        <f t="shared" si="65"/>
        <v>3102.4</v>
      </c>
      <c r="K54">
        <v>553</v>
      </c>
      <c r="L54">
        <f t="shared" si="66"/>
        <v>4123.5</v>
      </c>
      <c r="M54">
        <v>653</v>
      </c>
      <c r="N54">
        <f t="shared" si="67"/>
        <v>5211.6000000000004</v>
      </c>
      <c r="O54">
        <v>753</v>
      </c>
      <c r="P54">
        <f t="shared" si="68"/>
        <v>6353.1</v>
      </c>
      <c r="Q54">
        <v>853</v>
      </c>
      <c r="R54">
        <f t="shared" si="60"/>
        <v>7536.3</v>
      </c>
      <c r="S54">
        <v>953</v>
      </c>
      <c r="T54">
        <f t="shared" si="69"/>
        <v>8750.9</v>
      </c>
      <c r="U54">
        <v>1053</v>
      </c>
      <c r="V54">
        <f>9950+((10075-9950)/10)*(U54-1050)</f>
        <v>9987.5</v>
      </c>
      <c r="W54">
        <v>1153</v>
      </c>
      <c r="X54">
        <f t="shared" si="71"/>
        <v>11236.5</v>
      </c>
    </row>
    <row r="55" spans="1:24" x14ac:dyDescent="0.3">
      <c r="A55">
        <v>54</v>
      </c>
      <c r="B55">
        <f t="shared" si="61"/>
        <v>135.19999999999999</v>
      </c>
      <c r="C55">
        <v>154</v>
      </c>
      <c r="D55">
        <f t="shared" si="62"/>
        <v>640.79999999999995</v>
      </c>
      <c r="E55">
        <v>254</v>
      </c>
      <c r="F55">
        <f t="shared" si="63"/>
        <v>1352.4</v>
      </c>
      <c r="G55">
        <v>354</v>
      </c>
      <c r="H55">
        <f t="shared" si="64"/>
        <v>2173.6</v>
      </c>
      <c r="I55">
        <v>454</v>
      </c>
      <c r="J55">
        <f t="shared" si="65"/>
        <v>3112.2</v>
      </c>
      <c r="K55">
        <v>554</v>
      </c>
      <c r="L55">
        <f t="shared" si="66"/>
        <v>4134</v>
      </c>
      <c r="M55">
        <v>654</v>
      </c>
      <c r="N55">
        <f t="shared" si="67"/>
        <v>5222.8</v>
      </c>
      <c r="O55">
        <v>754</v>
      </c>
      <c r="P55">
        <f t="shared" si="68"/>
        <v>6364.8</v>
      </c>
      <c r="Q55">
        <v>854</v>
      </c>
      <c r="R55">
        <f t="shared" si="60"/>
        <v>7548.4</v>
      </c>
      <c r="S55">
        <v>954</v>
      </c>
      <c r="T55">
        <f t="shared" si="69"/>
        <v>8763.2000000000007</v>
      </c>
      <c r="U55">
        <v>1054</v>
      </c>
      <c r="V55">
        <f>9950+((10075-9950)/10)*(U55-1050)</f>
        <v>10000</v>
      </c>
      <c r="W55">
        <v>1154</v>
      </c>
      <c r="X55">
        <f t="shared" si="71"/>
        <v>11249</v>
      </c>
    </row>
    <row r="56" spans="1:24" x14ac:dyDescent="0.3">
      <c r="A56">
        <v>55</v>
      </c>
      <c r="B56">
        <f t="shared" si="61"/>
        <v>139</v>
      </c>
      <c r="C56">
        <v>155</v>
      </c>
      <c r="D56">
        <f t="shared" si="62"/>
        <v>647</v>
      </c>
      <c r="E56">
        <v>255</v>
      </c>
      <c r="F56">
        <f t="shared" si="63"/>
        <v>1358</v>
      </c>
      <c r="G56">
        <v>355</v>
      </c>
      <c r="H56">
        <f t="shared" si="64"/>
        <v>2182.5</v>
      </c>
      <c r="I56">
        <v>455</v>
      </c>
      <c r="J56">
        <f t="shared" si="65"/>
        <v>3122</v>
      </c>
      <c r="K56">
        <v>555</v>
      </c>
      <c r="L56">
        <f t="shared" si="66"/>
        <v>4144.5</v>
      </c>
      <c r="M56">
        <v>655</v>
      </c>
      <c r="N56">
        <f t="shared" si="67"/>
        <v>5234</v>
      </c>
      <c r="O56">
        <v>755</v>
      </c>
      <c r="P56">
        <f t="shared" si="68"/>
        <v>6376.5</v>
      </c>
      <c r="Q56">
        <v>855</v>
      </c>
      <c r="R56">
        <f t="shared" si="60"/>
        <v>7560.5</v>
      </c>
      <c r="S56">
        <v>955</v>
      </c>
      <c r="T56">
        <f t="shared" si="69"/>
        <v>8775.5</v>
      </c>
      <c r="U56">
        <v>1055</v>
      </c>
      <c r="V56">
        <f t="shared" si="70"/>
        <v>10012.5</v>
      </c>
      <c r="W56">
        <v>1155</v>
      </c>
      <c r="X56">
        <f t="shared" si="71"/>
        <v>11261.5</v>
      </c>
    </row>
    <row r="57" spans="1:24" x14ac:dyDescent="0.3">
      <c r="A57">
        <v>56</v>
      </c>
      <c r="B57">
        <f t="shared" si="61"/>
        <v>142.80000000000001</v>
      </c>
      <c r="C57">
        <v>156</v>
      </c>
      <c r="D57">
        <f t="shared" si="62"/>
        <v>653.20000000000005</v>
      </c>
      <c r="E57">
        <v>256</v>
      </c>
      <c r="F57">
        <f t="shared" si="63"/>
        <v>1363.6</v>
      </c>
      <c r="G57">
        <v>356</v>
      </c>
      <c r="H57">
        <f t="shared" si="64"/>
        <v>2191.4</v>
      </c>
      <c r="I57">
        <v>456</v>
      </c>
      <c r="J57">
        <f t="shared" si="65"/>
        <v>3131.8</v>
      </c>
      <c r="K57">
        <v>556</v>
      </c>
      <c r="L57">
        <f t="shared" si="66"/>
        <v>4155</v>
      </c>
      <c r="M57">
        <v>656</v>
      </c>
      <c r="N57">
        <f t="shared" si="67"/>
        <v>5245.2</v>
      </c>
      <c r="O57">
        <v>756</v>
      </c>
      <c r="P57">
        <f t="shared" si="68"/>
        <v>6388.2</v>
      </c>
      <c r="Q57">
        <v>856</v>
      </c>
      <c r="R57">
        <f t="shared" si="60"/>
        <v>7572.6</v>
      </c>
      <c r="S57">
        <v>956</v>
      </c>
      <c r="T57">
        <f t="shared" si="69"/>
        <v>8787.7999999999993</v>
      </c>
      <c r="U57">
        <v>1056</v>
      </c>
      <c r="V57">
        <f>9330+((9454-9330)/10)*(U57-1000)</f>
        <v>10024.4</v>
      </c>
      <c r="W57">
        <v>1156</v>
      </c>
      <c r="X57">
        <f t="shared" si="71"/>
        <v>11274</v>
      </c>
    </row>
    <row r="58" spans="1:24" x14ac:dyDescent="0.3">
      <c r="A58">
        <v>57</v>
      </c>
      <c r="B58">
        <f t="shared" si="61"/>
        <v>146.6</v>
      </c>
      <c r="C58">
        <v>157</v>
      </c>
      <c r="D58">
        <f t="shared" si="62"/>
        <v>659.4</v>
      </c>
      <c r="E58">
        <v>257</v>
      </c>
      <c r="F58">
        <f t="shared" si="63"/>
        <v>1369.2</v>
      </c>
      <c r="G58">
        <v>357</v>
      </c>
      <c r="H58">
        <f t="shared" si="64"/>
        <v>2200.3000000000002</v>
      </c>
      <c r="I58">
        <v>457</v>
      </c>
      <c r="J58">
        <f t="shared" si="65"/>
        <v>3141.6</v>
      </c>
      <c r="K58">
        <v>557</v>
      </c>
      <c r="L58">
        <f t="shared" si="66"/>
        <v>4165.5</v>
      </c>
      <c r="M58">
        <v>657</v>
      </c>
      <c r="N58">
        <f t="shared" si="67"/>
        <v>5256.4</v>
      </c>
      <c r="O58">
        <v>757</v>
      </c>
      <c r="P58">
        <f t="shared" si="68"/>
        <v>6399.9</v>
      </c>
      <c r="Q58">
        <v>857</v>
      </c>
      <c r="R58">
        <f t="shared" si="60"/>
        <v>7584.7</v>
      </c>
      <c r="S58">
        <v>957</v>
      </c>
      <c r="T58">
        <f t="shared" si="69"/>
        <v>8800.1</v>
      </c>
      <c r="U58">
        <v>1057</v>
      </c>
      <c r="V58">
        <f t="shared" si="70"/>
        <v>10037.5</v>
      </c>
      <c r="W58">
        <v>1157</v>
      </c>
      <c r="X58">
        <f t="shared" si="71"/>
        <v>11286.5</v>
      </c>
    </row>
    <row r="59" spans="1:24" x14ac:dyDescent="0.3">
      <c r="A59">
        <v>58</v>
      </c>
      <c r="B59">
        <f t="shared" si="61"/>
        <v>150.4</v>
      </c>
      <c r="C59">
        <v>158</v>
      </c>
      <c r="D59">
        <f t="shared" si="62"/>
        <v>665.6</v>
      </c>
      <c r="E59">
        <v>258</v>
      </c>
      <c r="F59">
        <f t="shared" si="63"/>
        <v>1374.8</v>
      </c>
      <c r="G59">
        <v>358</v>
      </c>
      <c r="H59">
        <f t="shared" si="64"/>
        <v>2209.1999999999998</v>
      </c>
      <c r="I59">
        <v>458</v>
      </c>
      <c r="J59">
        <f t="shared" si="65"/>
        <v>3151.4</v>
      </c>
      <c r="K59">
        <v>558</v>
      </c>
      <c r="L59">
        <f t="shared" si="66"/>
        <v>4176</v>
      </c>
      <c r="M59">
        <v>658</v>
      </c>
      <c r="N59">
        <f t="shared" si="67"/>
        <v>5267.6</v>
      </c>
      <c r="O59">
        <v>758</v>
      </c>
      <c r="P59">
        <f t="shared" si="68"/>
        <v>6411.6</v>
      </c>
      <c r="Q59">
        <v>858</v>
      </c>
      <c r="R59">
        <f t="shared" si="60"/>
        <v>7596.8</v>
      </c>
      <c r="S59">
        <v>958</v>
      </c>
      <c r="T59">
        <f t="shared" si="69"/>
        <v>8812.4</v>
      </c>
      <c r="U59">
        <v>1058</v>
      </c>
      <c r="V59">
        <f t="shared" si="70"/>
        <v>10050</v>
      </c>
      <c r="W59">
        <v>1158</v>
      </c>
      <c r="X59">
        <f t="shared" si="71"/>
        <v>11299</v>
      </c>
    </row>
    <row r="60" spans="1:24" x14ac:dyDescent="0.3">
      <c r="A60">
        <v>59</v>
      </c>
      <c r="B60">
        <f t="shared" si="61"/>
        <v>154.19999999999999</v>
      </c>
      <c r="C60">
        <v>159</v>
      </c>
      <c r="D60">
        <f t="shared" si="62"/>
        <v>671.8</v>
      </c>
      <c r="E60">
        <v>259</v>
      </c>
      <c r="F60">
        <f t="shared" si="63"/>
        <v>1380.4</v>
      </c>
      <c r="G60">
        <v>359</v>
      </c>
      <c r="H60">
        <f t="shared" si="64"/>
        <v>2218.1</v>
      </c>
      <c r="I60">
        <v>459</v>
      </c>
      <c r="J60">
        <f t="shared" si="65"/>
        <v>3161.2</v>
      </c>
      <c r="K60">
        <v>559</v>
      </c>
      <c r="L60">
        <f t="shared" si="66"/>
        <v>4186.5</v>
      </c>
      <c r="M60">
        <v>659</v>
      </c>
      <c r="N60">
        <f t="shared" si="67"/>
        <v>5278.8</v>
      </c>
      <c r="O60">
        <v>759</v>
      </c>
      <c r="P60">
        <f t="shared" si="68"/>
        <v>6423.3</v>
      </c>
      <c r="Q60">
        <v>859</v>
      </c>
      <c r="R60">
        <f t="shared" si="60"/>
        <v>7608.9</v>
      </c>
      <c r="S60">
        <v>959</v>
      </c>
      <c r="T60">
        <f t="shared" si="69"/>
        <v>8824.7000000000007</v>
      </c>
      <c r="U60">
        <v>1059</v>
      </c>
      <c r="V60">
        <f t="shared" si="70"/>
        <v>10062.5</v>
      </c>
      <c r="W60">
        <v>1159</v>
      </c>
      <c r="X60">
        <f t="shared" si="71"/>
        <v>11311.5</v>
      </c>
    </row>
    <row r="61" spans="1:24" x14ac:dyDescent="0.3">
      <c r="A61">
        <v>60</v>
      </c>
      <c r="B61">
        <v>158</v>
      </c>
      <c r="C61">
        <v>160</v>
      </c>
      <c r="D61">
        <v>678</v>
      </c>
      <c r="E61">
        <v>260</v>
      </c>
      <c r="F61">
        <v>1386</v>
      </c>
      <c r="G61">
        <v>360</v>
      </c>
      <c r="H61">
        <v>2227</v>
      </c>
      <c r="I61">
        <v>460</v>
      </c>
      <c r="J61">
        <v>3171</v>
      </c>
      <c r="K61">
        <v>560</v>
      </c>
      <c r="M61">
        <v>660</v>
      </c>
      <c r="N61">
        <v>5290</v>
      </c>
      <c r="O61">
        <v>760</v>
      </c>
      <c r="P61">
        <v>6435</v>
      </c>
      <c r="Q61">
        <v>860</v>
      </c>
      <c r="R61">
        <v>7621</v>
      </c>
      <c r="S61">
        <v>960</v>
      </c>
      <c r="T61">
        <v>8837</v>
      </c>
      <c r="U61">
        <v>1060</v>
      </c>
      <c r="V61">
        <v>10075</v>
      </c>
      <c r="W61">
        <v>1160</v>
      </c>
      <c r="X61">
        <v>11324</v>
      </c>
    </row>
    <row r="62" spans="1:24" x14ac:dyDescent="0.3">
      <c r="A62">
        <v>61</v>
      </c>
      <c r="B62">
        <f>158+((198-158)/10)*(A62-60)</f>
        <v>162</v>
      </c>
      <c r="C62">
        <v>161</v>
      </c>
      <c r="D62">
        <f>678+((741-678)/10)*(C62-160)</f>
        <v>684.3</v>
      </c>
      <c r="E62">
        <v>261</v>
      </c>
      <c r="F62">
        <f>1386+((1464-1386)/10)*(E62-260)</f>
        <v>1393.8</v>
      </c>
      <c r="G62">
        <v>361</v>
      </c>
      <c r="H62">
        <f>443+((498-443)/10)*(G62-120)</f>
        <v>1768.5</v>
      </c>
      <c r="I62">
        <v>461</v>
      </c>
      <c r="J62">
        <f>3171+((3270-3171)/10)*(I62-460)</f>
        <v>3180.9</v>
      </c>
      <c r="K62">
        <v>561</v>
      </c>
      <c r="L62">
        <f>4197+((4304-4197)/10)*(K62-560)</f>
        <v>4207.7</v>
      </c>
      <c r="M62">
        <v>661</v>
      </c>
      <c r="N62">
        <f>5290+((5402-5290)/10)*(M62-660)</f>
        <v>5301.2</v>
      </c>
      <c r="O62">
        <v>761</v>
      </c>
      <c r="P62">
        <f>6435+((6552-6435)/10)*(O62-760)</f>
        <v>6446.7</v>
      </c>
      <c r="Q62">
        <v>861</v>
      </c>
      <c r="R62">
        <f>7621+((7741-7621)/10)*(Q62-860)</f>
        <v>7633</v>
      </c>
      <c r="S62">
        <v>961</v>
      </c>
      <c r="T62">
        <f>8837+((8960-8837)/10)*(S62-960)</f>
        <v>8849.2999999999993</v>
      </c>
      <c r="U62">
        <v>1061</v>
      </c>
      <c r="V62">
        <f>10075+((10199-10075)/10)*(U62-1060)</f>
        <v>10087.4</v>
      </c>
      <c r="W62">
        <v>1161</v>
      </c>
      <c r="X62">
        <f>11324+((11449-11324)/10)*(W62-1160)</f>
        <v>11336.5</v>
      </c>
    </row>
    <row r="63" spans="1:24" x14ac:dyDescent="0.3">
      <c r="A63">
        <v>62</v>
      </c>
      <c r="B63">
        <f t="shared" ref="B63:B70" si="72">158+((198-158)/10)*(A63-60)</f>
        <v>166</v>
      </c>
      <c r="C63">
        <v>162</v>
      </c>
      <c r="D63">
        <f t="shared" ref="D63:D70" si="73">678+((741-678)/10)*(C63-160)</f>
        <v>690.6</v>
      </c>
      <c r="E63">
        <v>262</v>
      </c>
      <c r="F63">
        <f t="shared" ref="F63:F70" si="74">1386+((1464-1386)/10)*(E63-260)</f>
        <v>1401.6</v>
      </c>
      <c r="G63">
        <v>362</v>
      </c>
      <c r="H63">
        <f t="shared" ref="H63:H70" si="75">2227+((2317-2227)/10)*(G63-360)</f>
        <v>2245</v>
      </c>
      <c r="I63">
        <v>462</v>
      </c>
      <c r="J63">
        <f t="shared" ref="J63:J70" si="76">3171+((3270-3171)/10)*(I63-460)</f>
        <v>3190.8</v>
      </c>
      <c r="K63">
        <v>562</v>
      </c>
      <c r="L63">
        <f t="shared" ref="L63:L69" si="77">4197+((4304-4197)/10)*(K63-560)</f>
        <v>4218.3999999999996</v>
      </c>
      <c r="M63">
        <v>662</v>
      </c>
      <c r="N63">
        <f t="shared" ref="N63:N68" si="78">5290+((5402-5290)/10)*(M63-660)</f>
        <v>5312.4</v>
      </c>
      <c r="O63">
        <v>762</v>
      </c>
      <c r="P63">
        <f t="shared" ref="P63:P70" si="79">6435+((6552-6435)/10)*(O63-760)</f>
        <v>6458.4</v>
      </c>
      <c r="Q63">
        <v>862</v>
      </c>
      <c r="R63">
        <f t="shared" ref="R63:R70" si="80">7621+((7741-7621)/10)*(Q63-860)</f>
        <v>7645</v>
      </c>
      <c r="S63">
        <v>962</v>
      </c>
      <c r="T63">
        <f t="shared" ref="T63:T70" si="81">8837+((8960-8837)/10)*(S63-960)</f>
        <v>8861.6</v>
      </c>
      <c r="U63">
        <v>1062</v>
      </c>
      <c r="V63">
        <f t="shared" ref="V63:V70" si="82">10075+((10199-10075)/10)*(U63-1060)</f>
        <v>10099.799999999999</v>
      </c>
      <c r="W63">
        <v>1162</v>
      </c>
      <c r="X63">
        <f t="shared" ref="X63:X70" si="83">11324+((11449-11324)/10)*(W63-1160)</f>
        <v>11349</v>
      </c>
    </row>
    <row r="64" spans="1:24" x14ac:dyDescent="0.3">
      <c r="A64">
        <v>63</v>
      </c>
      <c r="B64">
        <f t="shared" si="72"/>
        <v>170</v>
      </c>
      <c r="C64">
        <v>163</v>
      </c>
      <c r="D64">
        <f t="shared" si="73"/>
        <v>696.9</v>
      </c>
      <c r="E64">
        <v>263</v>
      </c>
      <c r="F64">
        <f t="shared" si="74"/>
        <v>1409.4</v>
      </c>
      <c r="G64">
        <v>363</v>
      </c>
      <c r="H64">
        <f t="shared" si="75"/>
        <v>2254</v>
      </c>
      <c r="I64">
        <v>463</v>
      </c>
      <c r="J64">
        <f t="shared" si="76"/>
        <v>3200.7</v>
      </c>
      <c r="K64">
        <v>563</v>
      </c>
      <c r="L64">
        <f t="shared" si="77"/>
        <v>4229.1000000000004</v>
      </c>
      <c r="M64">
        <v>663</v>
      </c>
      <c r="N64">
        <f t="shared" si="78"/>
        <v>5323.6</v>
      </c>
      <c r="O64">
        <v>763</v>
      </c>
      <c r="P64">
        <f t="shared" si="79"/>
        <v>6470.1</v>
      </c>
      <c r="Q64">
        <v>863</v>
      </c>
      <c r="R64">
        <f t="shared" si="80"/>
        <v>7657</v>
      </c>
      <c r="S64">
        <v>963</v>
      </c>
      <c r="T64">
        <f t="shared" si="81"/>
        <v>8873.9</v>
      </c>
      <c r="U64">
        <v>1063</v>
      </c>
      <c r="V64">
        <f t="shared" si="82"/>
        <v>10112.200000000001</v>
      </c>
      <c r="W64">
        <v>1163</v>
      </c>
      <c r="X64">
        <f t="shared" si="83"/>
        <v>11361.5</v>
      </c>
    </row>
    <row r="65" spans="1:24" x14ac:dyDescent="0.3">
      <c r="A65">
        <v>64</v>
      </c>
      <c r="B65">
        <f t="shared" si="72"/>
        <v>174</v>
      </c>
      <c r="C65">
        <v>164</v>
      </c>
      <c r="D65">
        <f t="shared" si="73"/>
        <v>703.2</v>
      </c>
      <c r="E65">
        <v>264</v>
      </c>
      <c r="F65">
        <f t="shared" si="74"/>
        <v>1417.2</v>
      </c>
      <c r="G65">
        <v>364</v>
      </c>
      <c r="H65">
        <f t="shared" si="75"/>
        <v>2263</v>
      </c>
      <c r="I65">
        <v>464</v>
      </c>
      <c r="J65">
        <f t="shared" si="76"/>
        <v>3210.6</v>
      </c>
      <c r="K65">
        <v>564</v>
      </c>
      <c r="L65">
        <f t="shared" si="77"/>
        <v>4239.8</v>
      </c>
      <c r="M65">
        <v>664</v>
      </c>
      <c r="N65">
        <f t="shared" si="78"/>
        <v>5334.8</v>
      </c>
      <c r="O65">
        <v>764</v>
      </c>
      <c r="P65">
        <f t="shared" si="79"/>
        <v>6481.8</v>
      </c>
      <c r="Q65">
        <v>864</v>
      </c>
      <c r="R65">
        <f t="shared" si="80"/>
        <v>7669</v>
      </c>
      <c r="S65">
        <v>964</v>
      </c>
      <c r="T65">
        <f>8837+((8960-8837)/10)*(S65-960)</f>
        <v>8886.2000000000007</v>
      </c>
      <c r="U65">
        <v>1064</v>
      </c>
      <c r="V65">
        <f t="shared" si="82"/>
        <v>10124.6</v>
      </c>
      <c r="W65">
        <v>1164</v>
      </c>
      <c r="X65">
        <f t="shared" si="83"/>
        <v>11374</v>
      </c>
    </row>
    <row r="66" spans="1:24" x14ac:dyDescent="0.3">
      <c r="A66">
        <v>65</v>
      </c>
      <c r="B66">
        <f t="shared" si="72"/>
        <v>178</v>
      </c>
      <c r="C66">
        <v>165</v>
      </c>
      <c r="D66">
        <f t="shared" si="73"/>
        <v>709.5</v>
      </c>
      <c r="E66">
        <v>265</v>
      </c>
      <c r="F66">
        <f t="shared" si="74"/>
        <v>1425</v>
      </c>
      <c r="G66">
        <v>365</v>
      </c>
      <c r="H66">
        <f t="shared" si="75"/>
        <v>2272</v>
      </c>
      <c r="I66">
        <v>465</v>
      </c>
      <c r="J66">
        <f t="shared" si="76"/>
        <v>3220.5</v>
      </c>
      <c r="K66">
        <v>565</v>
      </c>
      <c r="L66">
        <f t="shared" si="77"/>
        <v>4250.5</v>
      </c>
      <c r="M66">
        <v>665</v>
      </c>
      <c r="N66">
        <f t="shared" si="78"/>
        <v>5346</v>
      </c>
      <c r="O66">
        <v>765</v>
      </c>
      <c r="P66">
        <f t="shared" si="79"/>
        <v>6493.5</v>
      </c>
      <c r="Q66">
        <v>865</v>
      </c>
      <c r="R66">
        <f t="shared" si="80"/>
        <v>7681</v>
      </c>
      <c r="S66">
        <v>965</v>
      </c>
      <c r="T66">
        <f t="shared" si="81"/>
        <v>8898.5</v>
      </c>
      <c r="U66">
        <v>1065</v>
      </c>
      <c r="V66">
        <f t="shared" si="82"/>
        <v>10137</v>
      </c>
      <c r="W66">
        <v>1165</v>
      </c>
      <c r="X66">
        <f t="shared" si="83"/>
        <v>11386.5</v>
      </c>
    </row>
    <row r="67" spans="1:24" x14ac:dyDescent="0.3">
      <c r="A67">
        <v>66</v>
      </c>
      <c r="B67">
        <f t="shared" si="72"/>
        <v>182</v>
      </c>
      <c r="C67">
        <v>166</v>
      </c>
      <c r="D67">
        <f t="shared" si="73"/>
        <v>715.8</v>
      </c>
      <c r="E67">
        <v>266</v>
      </c>
      <c r="F67">
        <f t="shared" si="74"/>
        <v>1432.8</v>
      </c>
      <c r="G67">
        <v>366</v>
      </c>
      <c r="H67">
        <f t="shared" si="75"/>
        <v>2281</v>
      </c>
      <c r="I67">
        <v>466</v>
      </c>
      <c r="J67">
        <f t="shared" si="76"/>
        <v>3230.4</v>
      </c>
      <c r="K67">
        <v>566</v>
      </c>
      <c r="L67">
        <f t="shared" si="77"/>
        <v>4261.2</v>
      </c>
      <c r="M67">
        <v>666</v>
      </c>
      <c r="N67">
        <f t="shared" si="78"/>
        <v>5357.2</v>
      </c>
      <c r="O67">
        <v>766</v>
      </c>
      <c r="P67">
        <f t="shared" si="79"/>
        <v>6505.2</v>
      </c>
      <c r="Q67">
        <v>866</v>
      </c>
      <c r="R67">
        <f t="shared" si="80"/>
        <v>7693</v>
      </c>
      <c r="S67">
        <v>966</v>
      </c>
      <c r="T67">
        <f t="shared" si="81"/>
        <v>8910.7999999999993</v>
      </c>
      <c r="U67">
        <v>1066</v>
      </c>
      <c r="V67">
        <f t="shared" si="82"/>
        <v>10149.4</v>
      </c>
      <c r="W67">
        <v>1166</v>
      </c>
      <c r="X67">
        <f t="shared" si="83"/>
        <v>11399</v>
      </c>
    </row>
    <row r="68" spans="1:24" x14ac:dyDescent="0.3">
      <c r="A68">
        <v>67</v>
      </c>
      <c r="B68">
        <f t="shared" si="72"/>
        <v>186</v>
      </c>
      <c r="C68">
        <v>167</v>
      </c>
      <c r="D68">
        <f t="shared" si="73"/>
        <v>722.1</v>
      </c>
      <c r="E68">
        <v>267</v>
      </c>
      <c r="F68">
        <f t="shared" si="74"/>
        <v>1440.6</v>
      </c>
      <c r="G68">
        <v>367</v>
      </c>
      <c r="H68">
        <f t="shared" si="75"/>
        <v>2290</v>
      </c>
      <c r="I68">
        <v>467</v>
      </c>
      <c r="J68">
        <f t="shared" si="76"/>
        <v>3240.3</v>
      </c>
      <c r="K68">
        <v>567</v>
      </c>
      <c r="L68">
        <f t="shared" si="77"/>
        <v>4271.8999999999996</v>
      </c>
      <c r="M68">
        <v>667</v>
      </c>
      <c r="N68">
        <f t="shared" si="78"/>
        <v>5368.4</v>
      </c>
      <c r="O68">
        <v>767</v>
      </c>
      <c r="P68">
        <f t="shared" si="79"/>
        <v>6516.9</v>
      </c>
      <c r="Q68">
        <v>867</v>
      </c>
      <c r="R68">
        <f t="shared" si="80"/>
        <v>7705</v>
      </c>
      <c r="S68">
        <v>967</v>
      </c>
      <c r="T68">
        <f t="shared" si="81"/>
        <v>8923.1</v>
      </c>
      <c r="U68">
        <v>1067</v>
      </c>
      <c r="V68">
        <f t="shared" si="82"/>
        <v>10161.799999999999</v>
      </c>
      <c r="W68">
        <v>1167</v>
      </c>
      <c r="X68">
        <f t="shared" si="83"/>
        <v>11411.5</v>
      </c>
    </row>
    <row r="69" spans="1:24" x14ac:dyDescent="0.3">
      <c r="A69">
        <v>68</v>
      </c>
      <c r="B69">
        <f t="shared" si="72"/>
        <v>190</v>
      </c>
      <c r="C69">
        <v>168</v>
      </c>
      <c r="D69">
        <f t="shared" si="73"/>
        <v>728.4</v>
      </c>
      <c r="E69">
        <v>268</v>
      </c>
      <c r="F69">
        <f t="shared" si="74"/>
        <v>1448.4</v>
      </c>
      <c r="G69">
        <v>368</v>
      </c>
      <c r="H69">
        <f t="shared" si="75"/>
        <v>2299</v>
      </c>
      <c r="I69">
        <v>468</v>
      </c>
      <c r="J69">
        <f t="shared" si="76"/>
        <v>3250.2</v>
      </c>
      <c r="K69">
        <v>568</v>
      </c>
      <c r="L69">
        <f t="shared" si="77"/>
        <v>4282.6000000000004</v>
      </c>
      <c r="M69">
        <v>668</v>
      </c>
      <c r="N69" s="1">
        <f>5290+((5402-5290)/10)*(M69-660)</f>
        <v>5379.6</v>
      </c>
      <c r="O69">
        <v>768</v>
      </c>
      <c r="P69">
        <f t="shared" si="79"/>
        <v>6528.6</v>
      </c>
      <c r="Q69">
        <v>868</v>
      </c>
      <c r="R69">
        <f t="shared" si="80"/>
        <v>7717</v>
      </c>
      <c r="S69">
        <v>968</v>
      </c>
      <c r="T69">
        <f t="shared" si="81"/>
        <v>8935.4</v>
      </c>
      <c r="U69">
        <v>1068</v>
      </c>
      <c r="V69">
        <f t="shared" si="82"/>
        <v>10174.200000000001</v>
      </c>
      <c r="W69">
        <v>1168</v>
      </c>
      <c r="X69">
        <f t="shared" si="83"/>
        <v>11424</v>
      </c>
    </row>
    <row r="70" spans="1:24" x14ac:dyDescent="0.3">
      <c r="A70">
        <v>69</v>
      </c>
      <c r="B70">
        <f t="shared" si="72"/>
        <v>194</v>
      </c>
      <c r="C70">
        <v>169</v>
      </c>
      <c r="D70">
        <f t="shared" si="73"/>
        <v>734.7</v>
      </c>
      <c r="E70">
        <v>269</v>
      </c>
      <c r="F70">
        <f t="shared" si="74"/>
        <v>1456.2</v>
      </c>
      <c r="G70">
        <v>369</v>
      </c>
      <c r="H70">
        <f t="shared" si="75"/>
        <v>2308</v>
      </c>
      <c r="I70">
        <v>469</v>
      </c>
      <c r="J70">
        <f t="shared" si="76"/>
        <v>3260.1</v>
      </c>
      <c r="K70">
        <v>569</v>
      </c>
      <c r="L70">
        <f>4197+((4304-4197)/10)*(K70-560)</f>
        <v>4293.3</v>
      </c>
      <c r="M70">
        <v>669</v>
      </c>
      <c r="N70">
        <f>5290+((5402-5290)/10)*(M70-660)</f>
        <v>5390.8</v>
      </c>
      <c r="O70">
        <v>769</v>
      </c>
      <c r="P70">
        <f t="shared" si="79"/>
        <v>6540.3</v>
      </c>
      <c r="Q70">
        <v>869</v>
      </c>
      <c r="R70">
        <f t="shared" si="80"/>
        <v>7729</v>
      </c>
      <c r="S70">
        <v>969</v>
      </c>
      <c r="T70">
        <f t="shared" si="81"/>
        <v>8947.7000000000007</v>
      </c>
      <c r="U70">
        <v>1069</v>
      </c>
      <c r="V70">
        <f t="shared" si="82"/>
        <v>10186.6</v>
      </c>
      <c r="W70">
        <v>1169</v>
      </c>
      <c r="X70">
        <f t="shared" si="83"/>
        <v>11436.5</v>
      </c>
    </row>
    <row r="71" spans="1:24" x14ac:dyDescent="0.3">
      <c r="A71">
        <v>70</v>
      </c>
      <c r="B71">
        <v>198</v>
      </c>
      <c r="C71">
        <v>170</v>
      </c>
      <c r="D71">
        <v>741</v>
      </c>
      <c r="E71">
        <v>270</v>
      </c>
      <c r="F71">
        <v>1464</v>
      </c>
      <c r="G71">
        <v>370</v>
      </c>
      <c r="I71">
        <v>470</v>
      </c>
      <c r="J71">
        <v>3270</v>
      </c>
      <c r="K71">
        <v>570</v>
      </c>
      <c r="L71">
        <v>4304</v>
      </c>
      <c r="M71">
        <v>670</v>
      </c>
      <c r="N71">
        <v>5402</v>
      </c>
      <c r="O71">
        <v>770</v>
      </c>
      <c r="P71">
        <v>6552</v>
      </c>
      <c r="Q71">
        <v>870</v>
      </c>
      <c r="R71">
        <v>7741</v>
      </c>
      <c r="S71">
        <v>970</v>
      </c>
      <c r="T71">
        <v>8960</v>
      </c>
      <c r="U71">
        <v>1070</v>
      </c>
      <c r="V71">
        <v>10199</v>
      </c>
      <c r="W71">
        <v>1170</v>
      </c>
      <c r="X71">
        <v>11449</v>
      </c>
    </row>
    <row r="72" spans="1:24" x14ac:dyDescent="0.3">
      <c r="A72">
        <v>71</v>
      </c>
      <c r="B72">
        <f>198+((242-198)/10)*(A72-70)</f>
        <v>202.4</v>
      </c>
      <c r="C72">
        <v>171</v>
      </c>
      <c r="D72">
        <f>741+((807-741)/10)*(C72-170)</f>
        <v>747.6</v>
      </c>
      <c r="E72">
        <v>271</v>
      </c>
      <c r="F72">
        <f>1464+((1544-1464)/10)*(E72-270)</f>
        <v>1472</v>
      </c>
      <c r="G72">
        <v>371</v>
      </c>
      <c r="H72">
        <f>2317+((2408-2317)/10)*(G72-370)</f>
        <v>2326.1</v>
      </c>
      <c r="I72">
        <v>471</v>
      </c>
      <c r="J72">
        <f>3270+((3370-3270)/10)*(I72-470)</f>
        <v>3280</v>
      </c>
      <c r="K72">
        <v>571</v>
      </c>
      <c r="L72">
        <f>4304+((4411-4304)/10)*(K72-570)</f>
        <v>4314.7</v>
      </c>
      <c r="M72">
        <v>671</v>
      </c>
      <c r="N72">
        <f>5402+((5515-5402)/10)*(M72-670)</f>
        <v>5413.3</v>
      </c>
      <c r="O72">
        <v>771</v>
      </c>
      <c r="P72">
        <f>6552+((6669-6552)/10)*(O72-770)</f>
        <v>6563.7</v>
      </c>
      <c r="Q72">
        <v>871</v>
      </c>
      <c r="R72">
        <f>7741+((7862-7741)/10)*(Q72-870)</f>
        <v>7753.1</v>
      </c>
      <c r="S72">
        <v>971</v>
      </c>
      <c r="T72">
        <f>8960+((9083-8960)/10)*(S72-970)</f>
        <v>8972.2999999999993</v>
      </c>
      <c r="U72">
        <v>1071</v>
      </c>
      <c r="V72">
        <f>10199+((10324-10199)/10)*(U72-1070)</f>
        <v>10211.5</v>
      </c>
      <c r="W72">
        <v>1171</v>
      </c>
      <c r="X72">
        <f>11449+((11574-11449)/10)*(W72-1170)</f>
        <v>11461.5</v>
      </c>
    </row>
    <row r="73" spans="1:24" x14ac:dyDescent="0.3">
      <c r="A73">
        <v>72</v>
      </c>
      <c r="B73">
        <f t="shared" ref="B73:B80" si="84">198+((242-198)/10)*(A73-70)</f>
        <v>206.8</v>
      </c>
      <c r="C73">
        <v>172</v>
      </c>
      <c r="D73">
        <f t="shared" ref="D73:D80" si="85">741+((807-741)/10)*(C73-170)</f>
        <v>754.2</v>
      </c>
      <c r="E73">
        <v>272</v>
      </c>
      <c r="F73">
        <f t="shared" ref="F73:F80" si="86">1464+((1544-1464)/10)*(E73-270)</f>
        <v>1480</v>
      </c>
      <c r="G73">
        <v>372</v>
      </c>
      <c r="H73">
        <f t="shared" ref="H73:H80" si="87">2317+((2408-2317)/10)*(G73-370)</f>
        <v>2335.1999999999998</v>
      </c>
      <c r="I73">
        <v>472</v>
      </c>
      <c r="J73">
        <f t="shared" ref="J73:J80" si="88">3270+((3370-3270)/10)*(I73-470)</f>
        <v>3290</v>
      </c>
      <c r="K73">
        <v>572</v>
      </c>
      <c r="L73">
        <f t="shared" ref="L73:L80" si="89">4304+((4411-4304)/10)*(K73-570)</f>
        <v>4325.3999999999996</v>
      </c>
      <c r="M73">
        <v>672</v>
      </c>
      <c r="N73">
        <f t="shared" ref="N73:N80" si="90">5402+((5515-5402)/10)*(M73-670)</f>
        <v>5424.6</v>
      </c>
      <c r="O73">
        <v>772</v>
      </c>
      <c r="P73">
        <f>6552+((6669-6552)/10)*(O73-770)</f>
        <v>6575.4</v>
      </c>
      <c r="Q73">
        <v>872</v>
      </c>
      <c r="R73">
        <f t="shared" ref="R73:R80" si="91">7741+((7862-7741)/10)*(Q73-870)</f>
        <v>7765.2</v>
      </c>
      <c r="S73">
        <v>972</v>
      </c>
      <c r="T73">
        <f t="shared" ref="T73:T80" si="92">8960+((9083-8960)/10)*(S73-970)</f>
        <v>8984.6</v>
      </c>
      <c r="U73">
        <v>1072</v>
      </c>
      <c r="V73">
        <f t="shared" ref="V73:V80" si="93">10199+((10324-10199)/10)*(U73-1070)</f>
        <v>10224</v>
      </c>
      <c r="W73">
        <v>1172</v>
      </c>
      <c r="X73">
        <f t="shared" ref="X73:X79" si="94">11449+((11574-11449)/10)*(W73-1170)</f>
        <v>11474</v>
      </c>
    </row>
    <row r="74" spans="1:24" x14ac:dyDescent="0.3">
      <c r="A74">
        <v>73</v>
      </c>
      <c r="B74">
        <f t="shared" si="84"/>
        <v>211.2</v>
      </c>
      <c r="C74">
        <v>173</v>
      </c>
      <c r="D74">
        <f t="shared" si="85"/>
        <v>760.8</v>
      </c>
      <c r="E74">
        <v>273</v>
      </c>
      <c r="F74">
        <f t="shared" si="86"/>
        <v>1488</v>
      </c>
      <c r="G74">
        <v>373</v>
      </c>
      <c r="H74">
        <f t="shared" si="87"/>
        <v>2344.3000000000002</v>
      </c>
      <c r="I74">
        <v>473</v>
      </c>
      <c r="J74">
        <f t="shared" si="88"/>
        <v>3300</v>
      </c>
      <c r="K74">
        <v>573</v>
      </c>
      <c r="L74">
        <f t="shared" si="89"/>
        <v>4336.1000000000004</v>
      </c>
      <c r="M74">
        <v>673</v>
      </c>
      <c r="N74">
        <f t="shared" si="90"/>
        <v>5435.9</v>
      </c>
      <c r="O74">
        <v>773</v>
      </c>
      <c r="P74">
        <f t="shared" ref="P74:P80" si="95">6552+((6669-6552)/10)*(O74-770)</f>
        <v>6587.1</v>
      </c>
      <c r="Q74">
        <v>873</v>
      </c>
      <c r="R74">
        <f t="shared" si="91"/>
        <v>7777.3</v>
      </c>
      <c r="S74">
        <v>973</v>
      </c>
      <c r="T74">
        <f t="shared" si="92"/>
        <v>8996.9</v>
      </c>
      <c r="U74">
        <v>1073</v>
      </c>
      <c r="V74">
        <f t="shared" si="93"/>
        <v>10236.5</v>
      </c>
      <c r="W74">
        <v>1173</v>
      </c>
      <c r="X74">
        <f t="shared" si="94"/>
        <v>11486.5</v>
      </c>
    </row>
    <row r="75" spans="1:24" x14ac:dyDescent="0.3">
      <c r="A75">
        <v>74</v>
      </c>
      <c r="B75">
        <f t="shared" si="84"/>
        <v>215.6</v>
      </c>
      <c r="C75">
        <v>174</v>
      </c>
      <c r="D75">
        <f t="shared" si="85"/>
        <v>767.4</v>
      </c>
      <c r="E75">
        <v>274</v>
      </c>
      <c r="F75">
        <f t="shared" si="86"/>
        <v>1496</v>
      </c>
      <c r="G75">
        <v>374</v>
      </c>
      <c r="H75">
        <f t="shared" si="87"/>
        <v>2353.4</v>
      </c>
      <c r="I75">
        <v>474</v>
      </c>
      <c r="J75">
        <f t="shared" si="88"/>
        <v>3310</v>
      </c>
      <c r="K75">
        <v>574</v>
      </c>
      <c r="L75">
        <f t="shared" si="89"/>
        <v>4346.8</v>
      </c>
      <c r="M75">
        <v>674</v>
      </c>
      <c r="N75">
        <f t="shared" si="90"/>
        <v>5447.2</v>
      </c>
      <c r="O75">
        <v>774</v>
      </c>
      <c r="P75">
        <f t="shared" si="95"/>
        <v>6598.8</v>
      </c>
      <c r="Q75">
        <v>874</v>
      </c>
      <c r="R75">
        <f t="shared" si="91"/>
        <v>7789.4</v>
      </c>
      <c r="S75">
        <v>974</v>
      </c>
      <c r="T75">
        <f t="shared" si="92"/>
        <v>9009.2000000000007</v>
      </c>
      <c r="U75">
        <v>1074</v>
      </c>
      <c r="V75">
        <f t="shared" si="93"/>
        <v>10249</v>
      </c>
      <c r="W75">
        <v>1174</v>
      </c>
      <c r="X75">
        <f t="shared" si="94"/>
        <v>11499</v>
      </c>
    </row>
    <row r="76" spans="1:24" x14ac:dyDescent="0.3">
      <c r="A76">
        <v>75</v>
      </c>
      <c r="B76">
        <f t="shared" si="84"/>
        <v>220</v>
      </c>
      <c r="C76">
        <v>175</v>
      </c>
      <c r="D76">
        <f t="shared" si="85"/>
        <v>774</v>
      </c>
      <c r="E76">
        <v>275</v>
      </c>
      <c r="F76">
        <f t="shared" si="86"/>
        <v>1504</v>
      </c>
      <c r="G76">
        <v>375</v>
      </c>
      <c r="H76">
        <f t="shared" si="87"/>
        <v>2362.5</v>
      </c>
      <c r="I76">
        <v>475</v>
      </c>
      <c r="J76">
        <f t="shared" si="88"/>
        <v>3320</v>
      </c>
      <c r="K76">
        <v>575</v>
      </c>
      <c r="L76">
        <f t="shared" si="89"/>
        <v>4357.5</v>
      </c>
      <c r="M76">
        <v>675</v>
      </c>
      <c r="N76">
        <f t="shared" si="90"/>
        <v>5458.5</v>
      </c>
      <c r="O76">
        <v>775</v>
      </c>
      <c r="P76">
        <f t="shared" si="95"/>
        <v>6610.5</v>
      </c>
      <c r="Q76">
        <v>875</v>
      </c>
      <c r="R76">
        <f t="shared" si="91"/>
        <v>7801.5</v>
      </c>
      <c r="S76">
        <v>975</v>
      </c>
      <c r="T76">
        <f t="shared" si="92"/>
        <v>9021.5</v>
      </c>
      <c r="U76">
        <v>1075</v>
      </c>
      <c r="V76">
        <f t="shared" si="93"/>
        <v>10261.5</v>
      </c>
      <c r="W76">
        <v>1175</v>
      </c>
      <c r="X76">
        <f t="shared" si="94"/>
        <v>11511.5</v>
      </c>
    </row>
    <row r="77" spans="1:24" x14ac:dyDescent="0.3">
      <c r="A77">
        <v>76</v>
      </c>
      <c r="B77">
        <f t="shared" si="84"/>
        <v>224.4</v>
      </c>
      <c r="C77">
        <v>176</v>
      </c>
      <c r="D77">
        <f t="shared" si="85"/>
        <v>780.6</v>
      </c>
      <c r="E77">
        <v>276</v>
      </c>
      <c r="F77">
        <f t="shared" si="86"/>
        <v>1512</v>
      </c>
      <c r="G77">
        <v>376</v>
      </c>
      <c r="H77">
        <f t="shared" si="87"/>
        <v>2371.6</v>
      </c>
      <c r="I77">
        <v>476</v>
      </c>
      <c r="J77">
        <f t="shared" si="88"/>
        <v>3330</v>
      </c>
      <c r="K77">
        <v>576</v>
      </c>
      <c r="L77">
        <f t="shared" si="89"/>
        <v>4368.2</v>
      </c>
      <c r="M77">
        <v>676</v>
      </c>
      <c r="N77">
        <f t="shared" si="90"/>
        <v>5469.8</v>
      </c>
      <c r="O77">
        <v>776</v>
      </c>
      <c r="P77">
        <f t="shared" si="95"/>
        <v>6622.2</v>
      </c>
      <c r="Q77">
        <v>876</v>
      </c>
      <c r="R77">
        <f t="shared" si="91"/>
        <v>7813.6</v>
      </c>
      <c r="S77">
        <v>976</v>
      </c>
      <c r="T77">
        <f t="shared" si="92"/>
        <v>9033.7999999999993</v>
      </c>
      <c r="U77">
        <v>1076</v>
      </c>
      <c r="V77">
        <f t="shared" si="93"/>
        <v>10274</v>
      </c>
      <c r="W77">
        <v>1176</v>
      </c>
      <c r="X77">
        <f t="shared" si="94"/>
        <v>11524</v>
      </c>
    </row>
    <row r="78" spans="1:24" x14ac:dyDescent="0.3">
      <c r="A78">
        <v>77</v>
      </c>
      <c r="B78">
        <f t="shared" si="84"/>
        <v>228.8</v>
      </c>
      <c r="C78">
        <v>177</v>
      </c>
      <c r="D78">
        <f t="shared" si="85"/>
        <v>787.2</v>
      </c>
      <c r="E78">
        <v>277</v>
      </c>
      <c r="F78">
        <f t="shared" si="86"/>
        <v>1520</v>
      </c>
      <c r="G78">
        <v>377</v>
      </c>
      <c r="H78">
        <f t="shared" si="87"/>
        <v>2380.6999999999998</v>
      </c>
      <c r="I78">
        <v>477</v>
      </c>
      <c r="J78">
        <f t="shared" si="88"/>
        <v>3340</v>
      </c>
      <c r="K78">
        <v>577</v>
      </c>
      <c r="L78">
        <f t="shared" si="89"/>
        <v>4378.8999999999996</v>
      </c>
      <c r="M78">
        <v>677</v>
      </c>
      <c r="N78">
        <f t="shared" si="90"/>
        <v>5481.1</v>
      </c>
      <c r="O78">
        <v>777</v>
      </c>
      <c r="P78">
        <f t="shared" si="95"/>
        <v>6633.9</v>
      </c>
      <c r="Q78">
        <v>877</v>
      </c>
      <c r="R78">
        <f t="shared" si="91"/>
        <v>7825.7</v>
      </c>
      <c r="S78">
        <v>977</v>
      </c>
      <c r="T78">
        <f t="shared" si="92"/>
        <v>9046.1</v>
      </c>
      <c r="U78">
        <v>1077</v>
      </c>
      <c r="V78">
        <f t="shared" si="93"/>
        <v>10286.5</v>
      </c>
      <c r="W78">
        <v>1177</v>
      </c>
      <c r="X78">
        <f t="shared" si="94"/>
        <v>11536.5</v>
      </c>
    </row>
    <row r="79" spans="1:24" x14ac:dyDescent="0.3">
      <c r="A79">
        <v>78</v>
      </c>
      <c r="B79">
        <f t="shared" si="84"/>
        <v>233.2</v>
      </c>
      <c r="C79">
        <v>178</v>
      </c>
      <c r="D79">
        <f t="shared" si="85"/>
        <v>793.8</v>
      </c>
      <c r="E79">
        <v>278</v>
      </c>
      <c r="F79">
        <f t="shared" si="86"/>
        <v>1528</v>
      </c>
      <c r="G79">
        <v>378</v>
      </c>
      <c r="H79">
        <f t="shared" si="87"/>
        <v>2389.8000000000002</v>
      </c>
      <c r="I79">
        <v>478</v>
      </c>
      <c r="J79">
        <f t="shared" si="88"/>
        <v>3350</v>
      </c>
      <c r="K79">
        <v>578</v>
      </c>
      <c r="L79">
        <f t="shared" si="89"/>
        <v>4389.6000000000004</v>
      </c>
      <c r="M79">
        <v>678</v>
      </c>
      <c r="N79">
        <f t="shared" si="90"/>
        <v>5492.4</v>
      </c>
      <c r="O79">
        <v>778</v>
      </c>
      <c r="P79">
        <f t="shared" si="95"/>
        <v>6645.6</v>
      </c>
      <c r="Q79">
        <v>878</v>
      </c>
      <c r="R79">
        <f t="shared" si="91"/>
        <v>7837.8</v>
      </c>
      <c r="S79">
        <v>978</v>
      </c>
      <c r="T79">
        <f t="shared" si="92"/>
        <v>9058.4</v>
      </c>
      <c r="U79">
        <v>1078</v>
      </c>
      <c r="V79">
        <f t="shared" si="93"/>
        <v>10299</v>
      </c>
      <c r="W79">
        <v>1178</v>
      </c>
      <c r="X79">
        <f t="shared" si="94"/>
        <v>11549</v>
      </c>
    </row>
    <row r="80" spans="1:24" x14ac:dyDescent="0.3">
      <c r="A80">
        <v>79</v>
      </c>
      <c r="B80">
        <f t="shared" si="84"/>
        <v>237.6</v>
      </c>
      <c r="C80">
        <v>179</v>
      </c>
      <c r="D80">
        <f t="shared" si="85"/>
        <v>800.4</v>
      </c>
      <c r="E80">
        <v>279</v>
      </c>
      <c r="F80">
        <f t="shared" si="86"/>
        <v>1536</v>
      </c>
      <c r="G80">
        <v>379</v>
      </c>
      <c r="H80">
        <f t="shared" si="87"/>
        <v>2398.9</v>
      </c>
      <c r="I80">
        <v>479</v>
      </c>
      <c r="J80">
        <f t="shared" si="88"/>
        <v>3360</v>
      </c>
      <c r="K80">
        <v>579</v>
      </c>
      <c r="L80">
        <f t="shared" si="89"/>
        <v>4400.3</v>
      </c>
      <c r="M80">
        <v>679</v>
      </c>
      <c r="N80">
        <f t="shared" si="90"/>
        <v>5503.7</v>
      </c>
      <c r="O80">
        <v>779</v>
      </c>
      <c r="P80">
        <f t="shared" si="95"/>
        <v>6657.3</v>
      </c>
      <c r="Q80">
        <v>879</v>
      </c>
      <c r="R80">
        <f t="shared" si="91"/>
        <v>7849.9</v>
      </c>
      <c r="S80">
        <v>979</v>
      </c>
      <c r="T80">
        <f t="shared" si="92"/>
        <v>9070.7000000000007</v>
      </c>
      <c r="U80">
        <v>1079</v>
      </c>
      <c r="V80">
        <f t="shared" si="93"/>
        <v>10311.5</v>
      </c>
      <c r="W80">
        <v>1179</v>
      </c>
      <c r="X80">
        <f>11449+((11574-11449)/10)*(W80-1170)</f>
        <v>11561.5</v>
      </c>
    </row>
    <row r="81" spans="1:24" x14ac:dyDescent="0.3">
      <c r="A81">
        <v>80</v>
      </c>
      <c r="B81">
        <v>242</v>
      </c>
      <c r="C81">
        <v>180</v>
      </c>
      <c r="D81">
        <v>807</v>
      </c>
      <c r="E81">
        <v>280</v>
      </c>
      <c r="F81">
        <v>1544</v>
      </c>
      <c r="G81">
        <v>380</v>
      </c>
      <c r="H81">
        <v>2408</v>
      </c>
      <c r="I81">
        <v>480</v>
      </c>
      <c r="J81">
        <v>3370</v>
      </c>
      <c r="K81">
        <v>580</v>
      </c>
      <c r="L81">
        <v>4411</v>
      </c>
      <c r="M81">
        <v>680</v>
      </c>
      <c r="N81">
        <v>5515</v>
      </c>
      <c r="O81">
        <v>780</v>
      </c>
      <c r="P81">
        <v>6669</v>
      </c>
      <c r="Q81">
        <v>880</v>
      </c>
      <c r="R81">
        <v>7862</v>
      </c>
      <c r="S81">
        <v>980</v>
      </c>
      <c r="T81">
        <v>9083</v>
      </c>
      <c r="U81">
        <v>1080</v>
      </c>
      <c r="V81">
        <v>10324</v>
      </c>
      <c r="W81">
        <v>1180</v>
      </c>
      <c r="X81">
        <v>11574</v>
      </c>
    </row>
    <row r="82" spans="1:24" x14ac:dyDescent="0.3">
      <c r="A82">
        <v>81</v>
      </c>
      <c r="B82">
        <f>242+((289-242)/10)*(A82-80)</f>
        <v>246.7</v>
      </c>
      <c r="C82">
        <v>181</v>
      </c>
      <c r="D82">
        <f>807+((874-807)/10)*(C82-180)</f>
        <v>813.7</v>
      </c>
      <c r="E82">
        <v>281</v>
      </c>
      <c r="F82">
        <f>1544+((1626-1544)/10)*(E82-280)</f>
        <v>1552.2</v>
      </c>
      <c r="G82">
        <v>381</v>
      </c>
      <c r="H82">
        <f>2408+((2500-2408)/10)*(G82-380)</f>
        <v>2417.1999999999998</v>
      </c>
      <c r="I82">
        <v>481</v>
      </c>
      <c r="J82">
        <f>3370+((3471-3370)/10)*(I82-480)</f>
        <v>3380.1</v>
      </c>
      <c r="K82">
        <v>581</v>
      </c>
      <c r="L82">
        <f>4411+((4519-4411)/10)*(K82-580)</f>
        <v>4421.8</v>
      </c>
      <c r="M82">
        <v>681</v>
      </c>
      <c r="N82">
        <f>5515+((5628-5515)/10)*(M82-680)</f>
        <v>5526.3</v>
      </c>
      <c r="O82">
        <v>781</v>
      </c>
      <c r="P82">
        <f>6669+((6787-6669)/10)*(O82-780)</f>
        <v>6680.8</v>
      </c>
      <c r="Q82">
        <v>881</v>
      </c>
      <c r="R82">
        <f>7862+((7983-7862)/10)*(Q82-880)</f>
        <v>7874.1</v>
      </c>
      <c r="S82">
        <v>981</v>
      </c>
      <c r="T82">
        <f>9083+((9207-9083)/10)*(S82-980)</f>
        <v>9095.4</v>
      </c>
      <c r="U82">
        <v>1081</v>
      </c>
      <c r="V82">
        <f>22614+((22805-22614)/10)*(U82-1540)</f>
        <v>13847.099999999999</v>
      </c>
      <c r="W82">
        <v>1181</v>
      </c>
      <c r="X82">
        <f>11574+((11700-11574)/10)*(W82-1180)</f>
        <v>11586.6</v>
      </c>
    </row>
    <row r="83" spans="1:24" x14ac:dyDescent="0.3">
      <c r="A83">
        <v>82</v>
      </c>
      <c r="B83">
        <f t="shared" ref="B83:B90" si="96">242+((289-242)/10)*(A83-80)</f>
        <v>251.4</v>
      </c>
      <c r="C83">
        <v>182</v>
      </c>
      <c r="D83">
        <f t="shared" ref="D83:D90" si="97">807+((874-807)/10)*(C83-180)</f>
        <v>820.4</v>
      </c>
      <c r="E83">
        <v>282</v>
      </c>
      <c r="F83">
        <f t="shared" ref="F83:F90" si="98">1544+((1626-1544)/10)*(E83-280)</f>
        <v>1560.4</v>
      </c>
      <c r="G83">
        <v>382</v>
      </c>
      <c r="H83">
        <f t="shared" ref="H83:H90" si="99">2408+((2500-2408)/10)*(G83-380)</f>
        <v>2426.4</v>
      </c>
      <c r="I83">
        <v>482</v>
      </c>
      <c r="J83">
        <f>3370+((3471-3370)/10)*(I83-480)</f>
        <v>3390.2</v>
      </c>
      <c r="K83">
        <v>582</v>
      </c>
      <c r="L83">
        <f t="shared" ref="L83:L90" si="100">4411+((4519-4411)/10)*(K83-580)</f>
        <v>4432.6000000000004</v>
      </c>
      <c r="M83">
        <v>682</v>
      </c>
      <c r="N83">
        <f t="shared" ref="N83:N89" si="101">5515+((5628-5515)/10)*(M83-680)</f>
        <v>5537.6</v>
      </c>
      <c r="O83">
        <v>782</v>
      </c>
      <c r="P83">
        <f t="shared" ref="P83:P90" si="102">6669+((6787-6669)/10)*(O83-780)</f>
        <v>6692.6</v>
      </c>
      <c r="Q83">
        <v>882</v>
      </c>
      <c r="R83">
        <f t="shared" ref="R83:R90" si="103">7862+((7983-7862)/10)*(Q83-880)</f>
        <v>7886.2</v>
      </c>
      <c r="S83">
        <v>982</v>
      </c>
      <c r="T83">
        <f t="shared" ref="T83:T90" si="104">9083+((9207-9083)/10)*(S83-980)</f>
        <v>9107.7999999999993</v>
      </c>
      <c r="U83">
        <v>1082</v>
      </c>
      <c r="V83">
        <f t="shared" ref="V83:V90" si="105">10324+((10448-10324)/10)*(U83-1080)</f>
        <v>10348.799999999999</v>
      </c>
      <c r="W83">
        <v>1182</v>
      </c>
      <c r="X83">
        <f t="shared" ref="X83:X90" si="106">11574+((11700-11574)/10)*(W83-1180)</f>
        <v>11599.2</v>
      </c>
    </row>
    <row r="84" spans="1:24" x14ac:dyDescent="0.3">
      <c r="A84">
        <v>83</v>
      </c>
      <c r="B84">
        <f t="shared" si="96"/>
        <v>256.10000000000002</v>
      </c>
      <c r="C84">
        <v>183</v>
      </c>
      <c r="D84">
        <f t="shared" si="97"/>
        <v>827.1</v>
      </c>
      <c r="E84">
        <v>283</v>
      </c>
      <c r="F84">
        <f t="shared" si="98"/>
        <v>1568.6</v>
      </c>
      <c r="G84">
        <v>383</v>
      </c>
      <c r="H84">
        <f t="shared" si="99"/>
        <v>2435.6</v>
      </c>
      <c r="I84">
        <v>483</v>
      </c>
      <c r="J84">
        <f t="shared" ref="J84:J90" si="107">3370+((3471-3370)/10)*(I84-480)</f>
        <v>3400.3</v>
      </c>
      <c r="K84">
        <v>583</v>
      </c>
      <c r="L84">
        <f t="shared" si="100"/>
        <v>4443.3999999999996</v>
      </c>
      <c r="M84">
        <v>683</v>
      </c>
      <c r="N84">
        <f t="shared" si="101"/>
        <v>5548.9</v>
      </c>
      <c r="O84">
        <v>783</v>
      </c>
      <c r="P84">
        <f t="shared" si="102"/>
        <v>6704.4</v>
      </c>
      <c r="Q84">
        <v>883</v>
      </c>
      <c r="R84">
        <f t="shared" si="103"/>
        <v>7898.3</v>
      </c>
      <c r="S84">
        <v>983</v>
      </c>
      <c r="T84">
        <f t="shared" si="104"/>
        <v>9120.2000000000007</v>
      </c>
      <c r="U84">
        <v>1083</v>
      </c>
      <c r="V84">
        <f t="shared" si="105"/>
        <v>10361.200000000001</v>
      </c>
      <c r="W84">
        <v>1183</v>
      </c>
      <c r="X84">
        <f t="shared" si="106"/>
        <v>11611.8</v>
      </c>
    </row>
    <row r="85" spans="1:24" x14ac:dyDescent="0.3">
      <c r="A85">
        <v>84</v>
      </c>
      <c r="B85">
        <f t="shared" si="96"/>
        <v>260.8</v>
      </c>
      <c r="C85">
        <v>184</v>
      </c>
      <c r="D85">
        <f t="shared" si="97"/>
        <v>833.8</v>
      </c>
      <c r="E85">
        <v>284</v>
      </c>
      <c r="F85">
        <f t="shared" si="98"/>
        <v>1576.8</v>
      </c>
      <c r="G85">
        <v>384</v>
      </c>
      <c r="H85">
        <f t="shared" si="99"/>
        <v>2444.8000000000002</v>
      </c>
      <c r="I85">
        <v>484</v>
      </c>
      <c r="J85">
        <f t="shared" si="107"/>
        <v>3410.4</v>
      </c>
      <c r="K85">
        <v>584</v>
      </c>
      <c r="L85">
        <f t="shared" si="100"/>
        <v>4454.2</v>
      </c>
      <c r="M85">
        <v>684</v>
      </c>
      <c r="N85">
        <f t="shared" si="101"/>
        <v>5560.2</v>
      </c>
      <c r="O85">
        <v>784</v>
      </c>
      <c r="P85">
        <f>4411+((4519-4411)/10)*(O85-580)</f>
        <v>6614.2000000000007</v>
      </c>
      <c r="Q85">
        <v>884</v>
      </c>
      <c r="R85">
        <f t="shared" si="103"/>
        <v>7910.4</v>
      </c>
      <c r="S85">
        <v>984</v>
      </c>
      <c r="T85">
        <f t="shared" si="104"/>
        <v>9132.6</v>
      </c>
      <c r="U85">
        <v>1084</v>
      </c>
      <c r="V85">
        <f t="shared" si="105"/>
        <v>10373.6</v>
      </c>
      <c r="W85">
        <v>1184</v>
      </c>
      <c r="X85">
        <f t="shared" si="106"/>
        <v>11624.4</v>
      </c>
    </row>
    <row r="86" spans="1:24" x14ac:dyDescent="0.3">
      <c r="A86">
        <v>85</v>
      </c>
      <c r="B86">
        <f t="shared" si="96"/>
        <v>265.5</v>
      </c>
      <c r="C86">
        <v>185</v>
      </c>
      <c r="D86">
        <f t="shared" si="97"/>
        <v>840.5</v>
      </c>
      <c r="E86">
        <v>285</v>
      </c>
      <c r="F86">
        <f t="shared" si="98"/>
        <v>1585</v>
      </c>
      <c r="G86">
        <v>385</v>
      </c>
      <c r="H86">
        <f t="shared" si="99"/>
        <v>2454</v>
      </c>
      <c r="I86">
        <v>485</v>
      </c>
      <c r="J86">
        <f>10448+((10573-10448)/10)*(I86-1090)</f>
        <v>2885.5</v>
      </c>
      <c r="K86">
        <v>585</v>
      </c>
      <c r="L86">
        <f t="shared" si="100"/>
        <v>4465</v>
      </c>
      <c r="M86">
        <v>685</v>
      </c>
      <c r="N86">
        <f t="shared" si="101"/>
        <v>5571.5</v>
      </c>
      <c r="O86">
        <v>785</v>
      </c>
      <c r="P86">
        <f t="shared" si="102"/>
        <v>6728</v>
      </c>
      <c r="Q86">
        <v>885</v>
      </c>
      <c r="R86">
        <f t="shared" si="103"/>
        <v>7922.5</v>
      </c>
      <c r="S86">
        <v>985</v>
      </c>
      <c r="T86">
        <f t="shared" si="104"/>
        <v>9145</v>
      </c>
      <c r="U86">
        <v>1085</v>
      </c>
      <c r="V86">
        <f t="shared" si="105"/>
        <v>10386</v>
      </c>
      <c r="W86">
        <v>1185</v>
      </c>
      <c r="X86">
        <f t="shared" si="106"/>
        <v>11637</v>
      </c>
    </row>
    <row r="87" spans="1:24" x14ac:dyDescent="0.3">
      <c r="A87">
        <v>86</v>
      </c>
      <c r="B87">
        <f t="shared" si="96"/>
        <v>270.2</v>
      </c>
      <c r="C87">
        <v>186</v>
      </c>
      <c r="D87">
        <f t="shared" si="97"/>
        <v>847.2</v>
      </c>
      <c r="E87">
        <v>286</v>
      </c>
      <c r="F87">
        <f t="shared" si="98"/>
        <v>1593.2</v>
      </c>
      <c r="G87">
        <v>386</v>
      </c>
      <c r="H87">
        <f t="shared" si="99"/>
        <v>2463.1999999999998</v>
      </c>
      <c r="I87">
        <v>486</v>
      </c>
      <c r="J87">
        <f t="shared" si="107"/>
        <v>3430.6</v>
      </c>
      <c r="K87">
        <v>586</v>
      </c>
      <c r="L87">
        <f t="shared" si="100"/>
        <v>4475.8</v>
      </c>
      <c r="M87">
        <v>686</v>
      </c>
      <c r="N87">
        <f>5515+((5628-5515)/10)*(M87-680)</f>
        <v>5582.8</v>
      </c>
      <c r="O87">
        <v>786</v>
      </c>
      <c r="P87">
        <f t="shared" si="102"/>
        <v>6739.8</v>
      </c>
      <c r="Q87">
        <v>886</v>
      </c>
      <c r="R87">
        <f t="shared" si="103"/>
        <v>7934.6</v>
      </c>
      <c r="S87">
        <v>986</v>
      </c>
      <c r="T87">
        <f t="shared" si="104"/>
        <v>9157.4</v>
      </c>
      <c r="U87">
        <v>1086</v>
      </c>
      <c r="V87">
        <f t="shared" si="105"/>
        <v>10398.4</v>
      </c>
      <c r="W87">
        <v>1186</v>
      </c>
      <c r="X87">
        <f t="shared" si="106"/>
        <v>11649.6</v>
      </c>
    </row>
    <row r="88" spans="1:24" x14ac:dyDescent="0.3">
      <c r="A88">
        <v>87</v>
      </c>
      <c r="B88">
        <f t="shared" si="96"/>
        <v>274.89999999999998</v>
      </c>
      <c r="C88">
        <v>187</v>
      </c>
      <c r="D88">
        <f t="shared" si="97"/>
        <v>853.9</v>
      </c>
      <c r="E88">
        <v>287</v>
      </c>
      <c r="F88">
        <f t="shared" si="98"/>
        <v>1601.4</v>
      </c>
      <c r="G88">
        <v>387</v>
      </c>
      <c r="H88">
        <f t="shared" si="99"/>
        <v>2472.4</v>
      </c>
      <c r="I88">
        <v>487</v>
      </c>
      <c r="J88">
        <f t="shared" si="107"/>
        <v>3440.7</v>
      </c>
      <c r="K88">
        <v>587</v>
      </c>
      <c r="L88">
        <f t="shared" si="100"/>
        <v>4486.6000000000004</v>
      </c>
      <c r="M88">
        <v>687</v>
      </c>
      <c r="N88">
        <f t="shared" si="101"/>
        <v>5594.1</v>
      </c>
      <c r="O88">
        <v>787</v>
      </c>
      <c r="P88">
        <f t="shared" si="102"/>
        <v>6751.6</v>
      </c>
      <c r="Q88">
        <v>887</v>
      </c>
      <c r="R88">
        <f t="shared" si="103"/>
        <v>7946.7</v>
      </c>
      <c r="S88">
        <v>987</v>
      </c>
      <c r="T88">
        <f t="shared" si="104"/>
        <v>9169.7999999999993</v>
      </c>
      <c r="U88">
        <v>1087</v>
      </c>
      <c r="V88">
        <f t="shared" si="105"/>
        <v>10410.799999999999</v>
      </c>
      <c r="W88">
        <v>1187</v>
      </c>
      <c r="X88">
        <f t="shared" si="106"/>
        <v>11662.2</v>
      </c>
    </row>
    <row r="89" spans="1:24" x14ac:dyDescent="0.3">
      <c r="A89">
        <v>88</v>
      </c>
      <c r="B89">
        <f>242+((289-242)/10)*(A89-80)</f>
        <v>279.60000000000002</v>
      </c>
      <c r="C89">
        <v>188</v>
      </c>
      <c r="D89">
        <f t="shared" si="97"/>
        <v>860.6</v>
      </c>
      <c r="E89">
        <v>288</v>
      </c>
      <c r="F89">
        <f t="shared" si="98"/>
        <v>1609.6</v>
      </c>
      <c r="G89">
        <v>388</v>
      </c>
      <c r="H89">
        <f t="shared" si="99"/>
        <v>2481.6</v>
      </c>
      <c r="I89">
        <v>488</v>
      </c>
      <c r="J89">
        <f t="shared" si="107"/>
        <v>3450.8</v>
      </c>
      <c r="K89">
        <v>588</v>
      </c>
      <c r="L89">
        <f t="shared" si="100"/>
        <v>4497.3999999999996</v>
      </c>
      <c r="M89">
        <v>688</v>
      </c>
      <c r="N89">
        <f t="shared" si="101"/>
        <v>5605.4</v>
      </c>
      <c r="O89">
        <v>788</v>
      </c>
      <c r="P89">
        <f t="shared" si="102"/>
        <v>6763.4</v>
      </c>
      <c r="Q89">
        <v>888</v>
      </c>
      <c r="R89">
        <f t="shared" si="103"/>
        <v>7958.8</v>
      </c>
      <c r="S89">
        <v>988</v>
      </c>
      <c r="T89">
        <f t="shared" si="104"/>
        <v>9182.2000000000007</v>
      </c>
      <c r="U89">
        <v>1088</v>
      </c>
      <c r="V89">
        <f t="shared" si="105"/>
        <v>10423.200000000001</v>
      </c>
      <c r="W89">
        <v>1188</v>
      </c>
      <c r="X89">
        <f t="shared" si="106"/>
        <v>11674.8</v>
      </c>
    </row>
    <row r="90" spans="1:24" x14ac:dyDescent="0.3">
      <c r="A90">
        <v>89</v>
      </c>
      <c r="B90">
        <f t="shared" si="96"/>
        <v>284.3</v>
      </c>
      <c r="C90">
        <v>189</v>
      </c>
      <c r="D90">
        <f t="shared" si="97"/>
        <v>867.3</v>
      </c>
      <c r="E90">
        <v>289</v>
      </c>
      <c r="F90">
        <f t="shared" si="98"/>
        <v>1617.8</v>
      </c>
      <c r="G90">
        <v>389</v>
      </c>
      <c r="H90">
        <f t="shared" si="99"/>
        <v>2490.8000000000002</v>
      </c>
      <c r="I90">
        <v>489</v>
      </c>
      <c r="J90">
        <f t="shared" si="107"/>
        <v>3460.9</v>
      </c>
      <c r="K90">
        <v>589</v>
      </c>
      <c r="L90">
        <f t="shared" si="100"/>
        <v>4508.2</v>
      </c>
      <c r="M90">
        <v>689</v>
      </c>
      <c r="N90">
        <f>5515+((5628-5515)/10)*(M90-680)</f>
        <v>5616.7</v>
      </c>
      <c r="O90">
        <v>789</v>
      </c>
      <c r="P90">
        <f t="shared" si="102"/>
        <v>6775.2</v>
      </c>
      <c r="Q90">
        <v>889</v>
      </c>
      <c r="R90">
        <f t="shared" si="103"/>
        <v>7970.9</v>
      </c>
      <c r="S90">
        <v>989</v>
      </c>
      <c r="T90">
        <f t="shared" si="104"/>
        <v>9194.6</v>
      </c>
      <c r="U90">
        <v>1089</v>
      </c>
      <c r="V90">
        <f t="shared" si="105"/>
        <v>10435.6</v>
      </c>
      <c r="W90">
        <v>1189</v>
      </c>
      <c r="X90">
        <f t="shared" si="106"/>
        <v>11687.4</v>
      </c>
    </row>
    <row r="91" spans="1:24" x14ac:dyDescent="0.3">
      <c r="A91">
        <v>90</v>
      </c>
      <c r="B91">
        <v>289</v>
      </c>
      <c r="C91">
        <v>190</v>
      </c>
      <c r="D91">
        <v>874</v>
      </c>
      <c r="E91">
        <v>290</v>
      </c>
      <c r="F91">
        <v>1626</v>
      </c>
      <c r="G91">
        <v>390</v>
      </c>
      <c r="H91">
        <v>2500</v>
      </c>
      <c r="I91">
        <v>490</v>
      </c>
      <c r="J91">
        <v>3471</v>
      </c>
      <c r="K91">
        <v>590</v>
      </c>
      <c r="L91">
        <v>4519</v>
      </c>
      <c r="M91">
        <v>690</v>
      </c>
      <c r="N91">
        <v>5628</v>
      </c>
      <c r="O91">
        <v>790</v>
      </c>
      <c r="P91">
        <v>6787</v>
      </c>
      <c r="Q91">
        <v>890</v>
      </c>
      <c r="R91">
        <v>7983</v>
      </c>
      <c r="S91">
        <v>990</v>
      </c>
      <c r="T91">
        <v>9207</v>
      </c>
      <c r="U91">
        <v>1090</v>
      </c>
      <c r="V91">
        <v>10448</v>
      </c>
      <c r="W91">
        <v>1190</v>
      </c>
      <c r="X91">
        <v>11700</v>
      </c>
    </row>
    <row r="92" spans="1:24" x14ac:dyDescent="0.3">
      <c r="A92">
        <v>91</v>
      </c>
      <c r="B92">
        <f>289+((338-242)/10)*(A92-90)</f>
        <v>298.60000000000002</v>
      </c>
      <c r="C92">
        <v>191</v>
      </c>
      <c r="D92">
        <f>874+((942-874)/10)*(C92-190)</f>
        <v>880.8</v>
      </c>
      <c r="E92">
        <v>291</v>
      </c>
      <c r="F92">
        <f>1626+((1708-1626)/10)*(E92-290)</f>
        <v>1634.2</v>
      </c>
      <c r="G92">
        <v>391</v>
      </c>
      <c r="H92">
        <f>2500+((2593-2500)/10)*(G92-390)</f>
        <v>2509.3000000000002</v>
      </c>
      <c r="I92">
        <v>491</v>
      </c>
      <c r="J92">
        <f>3471+((3573-3471)/10)*(I92-490)</f>
        <v>3481.2</v>
      </c>
      <c r="K92">
        <v>591</v>
      </c>
      <c r="L92">
        <f>4519+((4627-4519)/10)*(K92-590)</f>
        <v>4529.8</v>
      </c>
      <c r="M92">
        <v>691</v>
      </c>
      <c r="N92">
        <f>5628+((5742-5628)/10)*(M92-690)</f>
        <v>5639.4</v>
      </c>
      <c r="O92">
        <v>791</v>
      </c>
      <c r="P92">
        <f>6787+((6905-6787)/10)*(O92-790)</f>
        <v>6798.8</v>
      </c>
      <c r="Q92">
        <v>891</v>
      </c>
      <c r="R92">
        <f>7983+((8104-7983)/10)*(Q92-890)</f>
        <v>7995.1</v>
      </c>
      <c r="S92">
        <v>991</v>
      </c>
      <c r="T92">
        <f>9207+((9330-9207)/10)*(S92-990)</f>
        <v>9219.2999999999993</v>
      </c>
      <c r="U92">
        <v>1091</v>
      </c>
      <c r="V92">
        <f>10448+((10573-10448)/10)*(U92-1090)</f>
        <v>10460.5</v>
      </c>
      <c r="W92">
        <v>1191</v>
      </c>
      <c r="X92">
        <f>11700+((11825-11700)/10)*(W92-1190)</f>
        <v>11712.5</v>
      </c>
    </row>
    <row r="93" spans="1:24" x14ac:dyDescent="0.3">
      <c r="A93">
        <v>92</v>
      </c>
      <c r="B93">
        <f t="shared" ref="B93:B99" si="108">289+((338-242)/10)*(A93-90)</f>
        <v>308.2</v>
      </c>
      <c r="C93">
        <v>192</v>
      </c>
      <c r="D93">
        <f t="shared" ref="D93:D100" si="109">874+((942-874)/10)*(C93-190)</f>
        <v>887.6</v>
      </c>
      <c r="E93">
        <v>292</v>
      </c>
      <c r="F93">
        <f t="shared" ref="F93:F99" si="110">1626+((1708-1626)/10)*(E93-290)</f>
        <v>1642.4</v>
      </c>
      <c r="G93">
        <v>392</v>
      </c>
      <c r="H93">
        <f t="shared" ref="H93:H100" si="111">2500+((2593-2500)/10)*(G93-390)</f>
        <v>2518.6</v>
      </c>
      <c r="I93">
        <v>492</v>
      </c>
      <c r="J93">
        <f t="shared" ref="J93:J100" si="112">3471+((3573-3471)/10)*(I93-490)</f>
        <v>3491.4</v>
      </c>
      <c r="K93">
        <v>592</v>
      </c>
      <c r="L93">
        <f t="shared" ref="L93:L100" si="113">4519+((4627-4519)/10)*(K93-590)</f>
        <v>4540.6000000000004</v>
      </c>
      <c r="M93">
        <v>692</v>
      </c>
      <c r="O93">
        <v>792</v>
      </c>
      <c r="P93">
        <f t="shared" ref="P93:P100" si="114">6787+((6905-6787)/10)*(O93-790)</f>
        <v>6810.6</v>
      </c>
      <c r="Q93">
        <v>892</v>
      </c>
      <c r="R93">
        <f t="shared" ref="R93:R100" si="115">7983+((8104-7983)/10)*(Q93-890)</f>
        <v>8007.2</v>
      </c>
      <c r="S93">
        <v>992</v>
      </c>
      <c r="T93">
        <f t="shared" ref="T93:T100" si="116">9207+((9330-9207)/10)*(S93-990)</f>
        <v>9231.6</v>
      </c>
      <c r="U93">
        <v>1092</v>
      </c>
      <c r="V93">
        <f t="shared" ref="V93:V100" si="117">10448+((10573-10448)/10)*(U93-1090)</f>
        <v>10473</v>
      </c>
      <c r="W93">
        <v>1192</v>
      </c>
      <c r="X93">
        <f t="shared" ref="X93:X100" si="118">11700+((11825-11700)/10)*(W93-1190)</f>
        <v>11725</v>
      </c>
    </row>
    <row r="94" spans="1:24" x14ac:dyDescent="0.3">
      <c r="A94">
        <v>93</v>
      </c>
      <c r="B94">
        <f t="shared" si="108"/>
        <v>317.8</v>
      </c>
      <c r="C94">
        <v>193</v>
      </c>
      <c r="D94">
        <f t="shared" si="109"/>
        <v>894.4</v>
      </c>
      <c r="E94">
        <v>293</v>
      </c>
      <c r="F94">
        <f t="shared" si="110"/>
        <v>1650.6</v>
      </c>
      <c r="G94">
        <v>393</v>
      </c>
      <c r="H94">
        <f t="shared" si="111"/>
        <v>2527.9</v>
      </c>
      <c r="I94">
        <v>493</v>
      </c>
      <c r="J94">
        <f t="shared" si="112"/>
        <v>3501.6</v>
      </c>
      <c r="K94">
        <v>593</v>
      </c>
      <c r="L94">
        <f t="shared" si="113"/>
        <v>4551.3999999999996</v>
      </c>
      <c r="M94">
        <v>693</v>
      </c>
      <c r="N94">
        <f t="shared" ref="N94:N100" si="119">5628+((5742-5628)/10)*(M94-690)</f>
        <v>5662.2</v>
      </c>
      <c r="O94">
        <v>793</v>
      </c>
      <c r="P94">
        <f t="shared" si="114"/>
        <v>6822.4</v>
      </c>
      <c r="Q94">
        <v>893</v>
      </c>
      <c r="R94">
        <f t="shared" si="115"/>
        <v>8019.3</v>
      </c>
      <c r="S94">
        <v>993</v>
      </c>
      <c r="T94">
        <f t="shared" si="116"/>
        <v>9243.9</v>
      </c>
      <c r="U94">
        <v>1093</v>
      </c>
      <c r="V94">
        <f t="shared" si="117"/>
        <v>10485.5</v>
      </c>
      <c r="W94">
        <v>1193</v>
      </c>
      <c r="X94">
        <f t="shared" si="118"/>
        <v>11737.5</v>
      </c>
    </row>
    <row r="95" spans="1:24" x14ac:dyDescent="0.3">
      <c r="A95">
        <v>94</v>
      </c>
      <c r="B95">
        <f t="shared" si="108"/>
        <v>327.39999999999998</v>
      </c>
      <c r="C95">
        <v>194</v>
      </c>
      <c r="D95">
        <f t="shared" si="109"/>
        <v>901.2</v>
      </c>
      <c r="E95">
        <v>294</v>
      </c>
      <c r="F95">
        <f t="shared" si="110"/>
        <v>1658.8</v>
      </c>
      <c r="G95">
        <v>394</v>
      </c>
      <c r="H95">
        <f t="shared" si="111"/>
        <v>2537.1999999999998</v>
      </c>
      <c r="I95">
        <v>494</v>
      </c>
      <c r="J95">
        <f t="shared" si="112"/>
        <v>3511.8</v>
      </c>
      <c r="K95">
        <v>594</v>
      </c>
      <c r="L95">
        <f t="shared" si="113"/>
        <v>4562.2</v>
      </c>
      <c r="M95">
        <v>694</v>
      </c>
      <c r="N95">
        <f>5628+((5742-5628)/10)*(M95-690)</f>
        <v>5673.6</v>
      </c>
      <c r="O95">
        <v>794</v>
      </c>
      <c r="P95">
        <f t="shared" si="114"/>
        <v>6834.2</v>
      </c>
      <c r="Q95">
        <v>894</v>
      </c>
      <c r="R95">
        <f t="shared" si="115"/>
        <v>8031.4</v>
      </c>
      <c r="S95">
        <v>994</v>
      </c>
      <c r="T95">
        <f t="shared" si="116"/>
        <v>9256.2000000000007</v>
      </c>
      <c r="U95">
        <v>1094</v>
      </c>
      <c r="V95">
        <f t="shared" si="117"/>
        <v>10498</v>
      </c>
      <c r="W95">
        <v>1194</v>
      </c>
      <c r="X95">
        <f t="shared" si="118"/>
        <v>11750</v>
      </c>
    </row>
    <row r="96" spans="1:24" x14ac:dyDescent="0.3">
      <c r="A96">
        <v>95</v>
      </c>
      <c r="B96">
        <f t="shared" si="108"/>
        <v>337</v>
      </c>
      <c r="C96">
        <v>195</v>
      </c>
      <c r="D96">
        <f t="shared" si="109"/>
        <v>908</v>
      </c>
      <c r="E96">
        <v>295</v>
      </c>
      <c r="F96">
        <f t="shared" si="110"/>
        <v>1667</v>
      </c>
      <c r="G96">
        <v>395</v>
      </c>
      <c r="H96">
        <f t="shared" si="111"/>
        <v>2546.5</v>
      </c>
      <c r="I96">
        <v>495</v>
      </c>
      <c r="J96">
        <f t="shared" si="112"/>
        <v>3522</v>
      </c>
      <c r="K96">
        <v>595</v>
      </c>
      <c r="L96">
        <f t="shared" si="113"/>
        <v>4573</v>
      </c>
      <c r="M96">
        <v>695</v>
      </c>
      <c r="N96">
        <f t="shared" si="119"/>
        <v>5685</v>
      </c>
      <c r="O96">
        <v>795</v>
      </c>
      <c r="P96">
        <f t="shared" si="114"/>
        <v>6846</v>
      </c>
      <c r="Q96">
        <v>895</v>
      </c>
      <c r="R96">
        <f t="shared" si="115"/>
        <v>8043.5</v>
      </c>
      <c r="S96">
        <v>995</v>
      </c>
      <c r="T96">
        <f t="shared" si="116"/>
        <v>9268.5</v>
      </c>
      <c r="U96">
        <v>1095</v>
      </c>
      <c r="V96">
        <f t="shared" si="117"/>
        <v>10510.5</v>
      </c>
      <c r="W96">
        <v>1195</v>
      </c>
      <c r="X96">
        <f t="shared" si="118"/>
        <v>11762.5</v>
      </c>
    </row>
    <row r="97" spans="1:24" x14ac:dyDescent="0.3">
      <c r="A97">
        <v>96</v>
      </c>
      <c r="B97">
        <f t="shared" si="108"/>
        <v>346.6</v>
      </c>
      <c r="C97">
        <v>196</v>
      </c>
      <c r="D97">
        <f t="shared" si="109"/>
        <v>914.8</v>
      </c>
      <c r="E97">
        <v>296</v>
      </c>
      <c r="F97">
        <f t="shared" si="110"/>
        <v>1675.2</v>
      </c>
      <c r="G97">
        <v>396</v>
      </c>
      <c r="H97">
        <f t="shared" si="111"/>
        <v>2555.8000000000002</v>
      </c>
      <c r="I97">
        <v>496</v>
      </c>
      <c r="J97">
        <f t="shared" si="112"/>
        <v>3532.2</v>
      </c>
      <c r="K97">
        <v>596</v>
      </c>
      <c r="L97">
        <f t="shared" si="113"/>
        <v>4583.8</v>
      </c>
      <c r="M97">
        <v>696</v>
      </c>
      <c r="N97">
        <f t="shared" si="119"/>
        <v>5696.4</v>
      </c>
      <c r="O97">
        <v>796</v>
      </c>
      <c r="P97">
        <f t="shared" si="114"/>
        <v>6857.8</v>
      </c>
      <c r="Q97">
        <v>896</v>
      </c>
      <c r="R97">
        <f t="shared" si="115"/>
        <v>8055.6</v>
      </c>
      <c r="S97">
        <v>996</v>
      </c>
      <c r="T97">
        <f>9207+((9330-9207)/10)*(S97-990)</f>
        <v>9280.7999999999993</v>
      </c>
      <c r="U97">
        <v>1096</v>
      </c>
      <c r="V97">
        <f t="shared" si="117"/>
        <v>10523</v>
      </c>
      <c r="W97">
        <v>1196</v>
      </c>
      <c r="X97">
        <f t="shared" si="118"/>
        <v>11775</v>
      </c>
    </row>
    <row r="98" spans="1:24" x14ac:dyDescent="0.3">
      <c r="A98">
        <v>97</v>
      </c>
      <c r="B98">
        <f t="shared" si="108"/>
        <v>356.2</v>
      </c>
      <c r="C98">
        <v>197</v>
      </c>
      <c r="D98">
        <f t="shared" si="109"/>
        <v>921.6</v>
      </c>
      <c r="E98">
        <v>297</v>
      </c>
      <c r="F98">
        <f t="shared" si="110"/>
        <v>1683.4</v>
      </c>
      <c r="G98">
        <v>397</v>
      </c>
      <c r="H98">
        <f t="shared" si="111"/>
        <v>2565.1</v>
      </c>
      <c r="I98">
        <v>497</v>
      </c>
      <c r="J98">
        <f t="shared" si="112"/>
        <v>3542.4</v>
      </c>
      <c r="K98">
        <v>597</v>
      </c>
      <c r="L98">
        <f t="shared" si="113"/>
        <v>4594.6000000000004</v>
      </c>
      <c r="M98">
        <v>697</v>
      </c>
      <c r="N98">
        <f t="shared" si="119"/>
        <v>5707.8</v>
      </c>
      <c r="O98">
        <v>797</v>
      </c>
      <c r="P98">
        <f t="shared" si="114"/>
        <v>6869.6</v>
      </c>
      <c r="Q98">
        <v>897</v>
      </c>
      <c r="R98">
        <f t="shared" si="115"/>
        <v>8067.7</v>
      </c>
      <c r="S98">
        <v>997</v>
      </c>
      <c r="T98">
        <f t="shared" si="116"/>
        <v>9293.1</v>
      </c>
      <c r="U98">
        <v>1097</v>
      </c>
      <c r="V98">
        <f t="shared" si="117"/>
        <v>10535.5</v>
      </c>
      <c r="W98">
        <v>1197</v>
      </c>
      <c r="X98">
        <f t="shared" si="118"/>
        <v>11787.5</v>
      </c>
    </row>
    <row r="99" spans="1:24" x14ac:dyDescent="0.3">
      <c r="A99">
        <v>98</v>
      </c>
      <c r="B99">
        <f t="shared" si="108"/>
        <v>365.8</v>
      </c>
      <c r="C99">
        <v>198</v>
      </c>
      <c r="D99">
        <f t="shared" si="109"/>
        <v>928.4</v>
      </c>
      <c r="E99">
        <v>298</v>
      </c>
      <c r="F99">
        <f t="shared" si="110"/>
        <v>1691.6</v>
      </c>
      <c r="G99">
        <v>398</v>
      </c>
      <c r="H99">
        <f t="shared" si="111"/>
        <v>2574.4</v>
      </c>
      <c r="I99">
        <v>498</v>
      </c>
      <c r="J99">
        <f t="shared" si="112"/>
        <v>3552.6</v>
      </c>
      <c r="K99">
        <v>598</v>
      </c>
      <c r="L99">
        <f t="shared" si="113"/>
        <v>4605.3999999999996</v>
      </c>
      <c r="M99">
        <v>698</v>
      </c>
      <c r="N99">
        <f t="shared" si="119"/>
        <v>5719.2</v>
      </c>
      <c r="O99">
        <v>798</v>
      </c>
      <c r="P99">
        <f t="shared" si="114"/>
        <v>6881.4</v>
      </c>
      <c r="Q99">
        <v>898</v>
      </c>
      <c r="R99">
        <f t="shared" si="115"/>
        <v>8079.8</v>
      </c>
      <c r="S99">
        <v>998</v>
      </c>
      <c r="T99">
        <f t="shared" si="116"/>
        <v>9305.4</v>
      </c>
      <c r="U99">
        <v>1098</v>
      </c>
      <c r="V99">
        <f t="shared" si="117"/>
        <v>10548</v>
      </c>
      <c r="W99">
        <v>1198</v>
      </c>
      <c r="X99">
        <f t="shared" si="118"/>
        <v>11800</v>
      </c>
    </row>
    <row r="100" spans="1:24" x14ac:dyDescent="0.3">
      <c r="A100">
        <v>99</v>
      </c>
      <c r="C100">
        <v>199</v>
      </c>
      <c r="D100">
        <f t="shared" si="109"/>
        <v>935.2</v>
      </c>
      <c r="E100">
        <v>299</v>
      </c>
      <c r="F100">
        <f>1626+((1708-1626)/10)*(E100-290)</f>
        <v>1699.8</v>
      </c>
      <c r="G100">
        <v>399</v>
      </c>
      <c r="H100">
        <f t="shared" si="111"/>
        <v>2583.6999999999998</v>
      </c>
      <c r="I100">
        <v>499</v>
      </c>
      <c r="J100">
        <f t="shared" si="112"/>
        <v>3562.8</v>
      </c>
      <c r="K100">
        <v>599</v>
      </c>
      <c r="L100">
        <f t="shared" si="113"/>
        <v>4616.2</v>
      </c>
      <c r="M100">
        <v>699</v>
      </c>
      <c r="N100">
        <f t="shared" si="119"/>
        <v>5730.6</v>
      </c>
      <c r="O100">
        <v>799</v>
      </c>
      <c r="P100">
        <f t="shared" si="114"/>
        <v>6893.2</v>
      </c>
      <c r="Q100">
        <v>899</v>
      </c>
      <c r="R100">
        <f t="shared" si="115"/>
        <v>8091.9</v>
      </c>
      <c r="S100">
        <v>999</v>
      </c>
      <c r="T100">
        <f t="shared" si="116"/>
        <v>9317.7000000000007</v>
      </c>
      <c r="U100">
        <v>1099</v>
      </c>
      <c r="V100">
        <f t="shared" si="117"/>
        <v>10560.5</v>
      </c>
      <c r="W100">
        <v>1199</v>
      </c>
      <c r="X100">
        <f t="shared" si="118"/>
        <v>11812.5</v>
      </c>
    </row>
    <row r="101" spans="1:24" x14ac:dyDescent="0.3">
      <c r="A101">
        <v>100</v>
      </c>
      <c r="B101">
        <v>338</v>
      </c>
      <c r="C101">
        <v>200</v>
      </c>
      <c r="D101">
        <v>942</v>
      </c>
      <c r="E101">
        <v>300</v>
      </c>
      <c r="F101">
        <v>1708</v>
      </c>
      <c r="G101">
        <v>400</v>
      </c>
      <c r="H101">
        <v>2593</v>
      </c>
      <c r="I101">
        <v>500</v>
      </c>
      <c r="J101">
        <v>3573</v>
      </c>
      <c r="K101">
        <v>600</v>
      </c>
      <c r="L101">
        <v>4627</v>
      </c>
      <c r="M101">
        <v>700</v>
      </c>
      <c r="N101">
        <v>5742</v>
      </c>
      <c r="O101">
        <v>800</v>
      </c>
      <c r="P101">
        <v>6905</v>
      </c>
      <c r="Q101">
        <v>900</v>
      </c>
      <c r="R101">
        <v>8104</v>
      </c>
      <c r="S101">
        <v>1000</v>
      </c>
      <c r="T101">
        <v>9330</v>
      </c>
      <c r="U101">
        <v>1100</v>
      </c>
      <c r="V101">
        <v>10573</v>
      </c>
      <c r="W101">
        <v>1200</v>
      </c>
      <c r="X101">
        <v>11825</v>
      </c>
    </row>
    <row r="105" spans="1:24" x14ac:dyDescent="0.3">
      <c r="A105">
        <v>1200</v>
      </c>
      <c r="B105">
        <v>11825</v>
      </c>
      <c r="C105">
        <v>1300</v>
      </c>
      <c r="D105">
        <v>13076</v>
      </c>
      <c r="E105">
        <v>1400</v>
      </c>
      <c r="F105">
        <v>14317</v>
      </c>
      <c r="G105">
        <v>1500</v>
      </c>
      <c r="H105">
        <v>15540</v>
      </c>
      <c r="I105">
        <v>1600</v>
      </c>
      <c r="J105">
        <v>16735</v>
      </c>
      <c r="K105">
        <v>1700</v>
      </c>
      <c r="L105">
        <v>17891</v>
      </c>
      <c r="M105">
        <v>1800</v>
      </c>
      <c r="N105">
        <v>18999</v>
      </c>
      <c r="O105">
        <v>1900</v>
      </c>
      <c r="P105">
        <v>20043</v>
      </c>
      <c r="Q105">
        <v>2000</v>
      </c>
      <c r="R105">
        <v>21011</v>
      </c>
      <c r="S105">
        <v>2100</v>
      </c>
      <c r="T105">
        <v>21881</v>
      </c>
      <c r="U105">
        <v>2200</v>
      </c>
      <c r="V105">
        <v>22627</v>
      </c>
      <c r="W105">
        <v>2300</v>
      </c>
      <c r="X105">
        <v>23204</v>
      </c>
    </row>
    <row r="106" spans="1:24" x14ac:dyDescent="0.3">
      <c r="A106">
        <v>1201</v>
      </c>
      <c r="B106">
        <f>11825+((11950-11825)/10)*(A106-1200)</f>
        <v>11837.5</v>
      </c>
      <c r="C106">
        <v>1301</v>
      </c>
      <c r="D106">
        <f>13076+((13200-13076)/10)*(C106-1300)</f>
        <v>13088.4</v>
      </c>
      <c r="E106">
        <v>1401</v>
      </c>
      <c r="F106">
        <f>14317+((14440-14317)/10)*(E106-1400)</f>
        <v>14329.3</v>
      </c>
      <c r="G106">
        <v>1501</v>
      </c>
      <c r="H106">
        <f>15540+((15661-15540)/10)*(G106-1500)</f>
        <v>15552.1</v>
      </c>
      <c r="I106">
        <v>1601</v>
      </c>
      <c r="J106">
        <f>16735+((16852-16735)/10)*(I106-1600)</f>
        <v>16746.7</v>
      </c>
      <c r="K106">
        <v>1701</v>
      </c>
      <c r="L106">
        <f>17891+((18004-17891)/10)*(K106-1700)</f>
        <v>17902.3</v>
      </c>
      <c r="M106">
        <v>1801</v>
      </c>
      <c r="N106">
        <f>18999+((19106-18999)/10)*(M106-1800)</f>
        <v>19009.7</v>
      </c>
      <c r="O106">
        <v>1901</v>
      </c>
      <c r="P106">
        <f>20043+((20144-20043)/10)*(O106-1900)</f>
        <v>20053.099999999999</v>
      </c>
      <c r="Q106">
        <v>2001</v>
      </c>
      <c r="R106">
        <f>21011+((21103-21011)/10)*(Q106-2000)</f>
        <v>21020.2</v>
      </c>
      <c r="S106">
        <v>2101</v>
      </c>
      <c r="T106">
        <f>21881+((21962-21881)/10)*(S106-2100)</f>
        <v>21889.1</v>
      </c>
      <c r="U106">
        <v>2201</v>
      </c>
      <c r="V106">
        <f>22627+((22694-22627)/10)*(U106-2200)</f>
        <v>22633.7</v>
      </c>
      <c r="W106">
        <v>2301</v>
      </c>
      <c r="X106">
        <f>23204+((23250-23204)/10)*(W106-2300)</f>
        <v>23208.6</v>
      </c>
    </row>
    <row r="107" spans="1:24" x14ac:dyDescent="0.3">
      <c r="A107">
        <v>1202</v>
      </c>
      <c r="B107">
        <f t="shared" ref="B107:B114" si="120">11825+((11950-11825)/10)*(A107-1200)</f>
        <v>11850</v>
      </c>
      <c r="C107">
        <v>1302</v>
      </c>
      <c r="D107">
        <f>13076+((13200-13076)/10)*(C107-1300)</f>
        <v>13100.8</v>
      </c>
      <c r="E107">
        <v>1402</v>
      </c>
      <c r="F107">
        <f t="shared" ref="F107:F114" si="121">14317+((14440-14317)/10)*(E107-1400)</f>
        <v>14341.6</v>
      </c>
      <c r="G107">
        <v>1502</v>
      </c>
      <c r="H107">
        <f t="shared" ref="H107:H114" si="122">15540+((15661-15540)/10)*(G107-1500)</f>
        <v>15564.2</v>
      </c>
      <c r="I107">
        <v>1602</v>
      </c>
      <c r="J107">
        <f t="shared" ref="J107:J114" si="123">16735+((16852-16735)/10)*(I107-1600)</f>
        <v>16758.400000000001</v>
      </c>
      <c r="K107">
        <v>1702</v>
      </c>
      <c r="L107">
        <f t="shared" ref="L107:L114" si="124">17891+((18004-17891)/10)*(K107-1700)</f>
        <v>17913.599999999999</v>
      </c>
      <c r="M107">
        <v>1802</v>
      </c>
      <c r="N107">
        <f t="shared" ref="N107:N114" si="125">18999+((19106-18999)/10)*(M107-1800)</f>
        <v>19020.400000000001</v>
      </c>
      <c r="O107">
        <v>1902</v>
      </c>
      <c r="P107">
        <f t="shared" ref="P107:P114" si="126">20043+((20144-20043)/10)*(O107-1900)</f>
        <v>20063.2</v>
      </c>
      <c r="Q107">
        <v>2002</v>
      </c>
      <c r="R107">
        <f t="shared" ref="R107:R114" si="127">21011+((21103-21011)/10)*(Q107-2000)</f>
        <v>21029.4</v>
      </c>
      <c r="S107">
        <v>2102</v>
      </c>
      <c r="T107">
        <f t="shared" ref="T107:T114" si="128">21881+((21962-21881)/10)*(S107-2100)</f>
        <v>21897.200000000001</v>
      </c>
      <c r="U107">
        <v>2202</v>
      </c>
      <c r="V107">
        <f t="shared" ref="V107:V114" si="129">22627+((22694-22627)/10)*(U107-2200)</f>
        <v>22640.400000000001</v>
      </c>
      <c r="W107">
        <v>2302</v>
      </c>
      <c r="X107">
        <f t="shared" ref="X107:X114" si="130">23204+((23250-23204)/10)*(W107-2300)</f>
        <v>23213.200000000001</v>
      </c>
    </row>
    <row r="108" spans="1:24" x14ac:dyDescent="0.3">
      <c r="A108">
        <v>1203</v>
      </c>
      <c r="B108">
        <f t="shared" si="120"/>
        <v>11862.5</v>
      </c>
      <c r="C108">
        <v>1303</v>
      </c>
      <c r="D108">
        <f t="shared" ref="D108:D114" si="131">13076+((13200-13076)/10)*(C108-1300)</f>
        <v>13113.2</v>
      </c>
      <c r="E108">
        <v>1403</v>
      </c>
      <c r="F108">
        <f t="shared" si="121"/>
        <v>14353.9</v>
      </c>
      <c r="G108">
        <v>1503</v>
      </c>
      <c r="H108">
        <f t="shared" si="122"/>
        <v>15576.3</v>
      </c>
      <c r="I108">
        <v>1603</v>
      </c>
      <c r="J108">
        <f t="shared" si="123"/>
        <v>16770.099999999999</v>
      </c>
      <c r="K108">
        <v>1703</v>
      </c>
      <c r="L108">
        <f t="shared" si="124"/>
        <v>17924.900000000001</v>
      </c>
      <c r="M108">
        <v>1803</v>
      </c>
      <c r="N108">
        <f t="shared" si="125"/>
        <v>19031.099999999999</v>
      </c>
      <c r="O108">
        <v>1903</v>
      </c>
      <c r="P108">
        <f t="shared" si="126"/>
        <v>20073.3</v>
      </c>
      <c r="Q108">
        <v>2003</v>
      </c>
      <c r="R108">
        <f t="shared" si="127"/>
        <v>21038.6</v>
      </c>
      <c r="S108">
        <v>2103</v>
      </c>
      <c r="T108">
        <f t="shared" si="128"/>
        <v>21905.3</v>
      </c>
      <c r="U108">
        <v>2203</v>
      </c>
      <c r="V108">
        <f t="shared" si="129"/>
        <v>22647.1</v>
      </c>
      <c r="W108">
        <v>2303</v>
      </c>
      <c r="X108">
        <f t="shared" si="130"/>
        <v>23217.8</v>
      </c>
    </row>
    <row r="109" spans="1:24" x14ac:dyDescent="0.3">
      <c r="A109">
        <v>1204</v>
      </c>
      <c r="B109">
        <f t="shared" si="120"/>
        <v>11875</v>
      </c>
      <c r="C109">
        <v>1304</v>
      </c>
      <c r="D109">
        <f t="shared" si="131"/>
        <v>13125.6</v>
      </c>
      <c r="E109">
        <v>1404</v>
      </c>
      <c r="F109">
        <f t="shared" si="121"/>
        <v>14366.2</v>
      </c>
      <c r="G109">
        <v>1504</v>
      </c>
      <c r="H109">
        <f t="shared" si="122"/>
        <v>15588.4</v>
      </c>
      <c r="I109">
        <v>1604</v>
      </c>
      <c r="J109">
        <f t="shared" si="123"/>
        <v>16781.8</v>
      </c>
      <c r="K109">
        <v>1704</v>
      </c>
      <c r="L109">
        <f>17891+((18004-17891)/10)*(K109-1700)</f>
        <v>17936.2</v>
      </c>
      <c r="M109">
        <v>1804</v>
      </c>
      <c r="N109">
        <f t="shared" si="125"/>
        <v>19041.8</v>
      </c>
      <c r="O109">
        <v>1904</v>
      </c>
      <c r="P109">
        <f t="shared" si="126"/>
        <v>20083.400000000001</v>
      </c>
      <c r="Q109">
        <v>2004</v>
      </c>
      <c r="R109">
        <f t="shared" si="127"/>
        <v>21047.8</v>
      </c>
      <c r="S109">
        <v>2104</v>
      </c>
      <c r="T109">
        <f t="shared" si="128"/>
        <v>21913.4</v>
      </c>
      <c r="U109">
        <v>2204</v>
      </c>
      <c r="V109">
        <f t="shared" si="129"/>
        <v>22653.8</v>
      </c>
      <c r="W109">
        <v>2304</v>
      </c>
      <c r="X109">
        <f t="shared" si="130"/>
        <v>23222.400000000001</v>
      </c>
    </row>
    <row r="110" spans="1:24" x14ac:dyDescent="0.3">
      <c r="A110">
        <v>1205</v>
      </c>
      <c r="B110">
        <f t="shared" si="120"/>
        <v>11887.5</v>
      </c>
      <c r="C110">
        <v>1305</v>
      </c>
      <c r="D110">
        <f t="shared" si="131"/>
        <v>13138</v>
      </c>
      <c r="E110">
        <v>1405</v>
      </c>
      <c r="F110">
        <f t="shared" si="121"/>
        <v>14378.5</v>
      </c>
      <c r="G110">
        <v>1505</v>
      </c>
      <c r="H110">
        <f t="shared" si="122"/>
        <v>15600.5</v>
      </c>
      <c r="I110">
        <v>1605</v>
      </c>
      <c r="J110">
        <f t="shared" si="123"/>
        <v>16793.5</v>
      </c>
      <c r="K110">
        <v>1705</v>
      </c>
      <c r="L110">
        <f t="shared" si="124"/>
        <v>17947.5</v>
      </c>
      <c r="M110">
        <v>1805</v>
      </c>
      <c r="N110">
        <f t="shared" si="125"/>
        <v>19052.5</v>
      </c>
      <c r="O110">
        <v>1905</v>
      </c>
      <c r="P110">
        <f t="shared" si="126"/>
        <v>20093.5</v>
      </c>
      <c r="Q110">
        <v>2005</v>
      </c>
      <c r="R110">
        <f t="shared" si="127"/>
        <v>21057</v>
      </c>
      <c r="S110">
        <v>2105</v>
      </c>
      <c r="T110">
        <f t="shared" si="128"/>
        <v>21921.5</v>
      </c>
      <c r="U110">
        <v>2205</v>
      </c>
      <c r="V110">
        <f t="shared" si="129"/>
        <v>22660.5</v>
      </c>
      <c r="W110">
        <v>2305</v>
      </c>
      <c r="X110">
        <f>23204+((23250-23204)/10)*(W110-2300)</f>
        <v>23227</v>
      </c>
    </row>
    <row r="111" spans="1:24" x14ac:dyDescent="0.3">
      <c r="A111">
        <v>1206</v>
      </c>
      <c r="B111">
        <f t="shared" si="120"/>
        <v>11900</v>
      </c>
      <c r="C111">
        <v>1306</v>
      </c>
      <c r="D111">
        <f t="shared" si="131"/>
        <v>13150.4</v>
      </c>
      <c r="E111">
        <v>1406</v>
      </c>
      <c r="F111">
        <f t="shared" si="121"/>
        <v>14390.8</v>
      </c>
      <c r="G111">
        <v>1506</v>
      </c>
      <c r="H111">
        <f t="shared" si="122"/>
        <v>15612.6</v>
      </c>
      <c r="I111">
        <v>1606</v>
      </c>
      <c r="J111">
        <f t="shared" si="123"/>
        <v>16805.2</v>
      </c>
      <c r="K111">
        <v>1706</v>
      </c>
      <c r="L111">
        <f t="shared" si="124"/>
        <v>17958.8</v>
      </c>
      <c r="M111">
        <v>1806</v>
      </c>
      <c r="N111">
        <f t="shared" si="125"/>
        <v>19063.2</v>
      </c>
      <c r="O111">
        <v>1906</v>
      </c>
      <c r="P111">
        <f t="shared" si="126"/>
        <v>20103.599999999999</v>
      </c>
      <c r="Q111">
        <v>2006</v>
      </c>
      <c r="R111">
        <f t="shared" si="127"/>
        <v>21066.2</v>
      </c>
      <c r="S111">
        <v>2106</v>
      </c>
      <c r="T111">
        <f t="shared" si="128"/>
        <v>21929.599999999999</v>
      </c>
      <c r="U111">
        <v>2206</v>
      </c>
      <c r="V111">
        <f t="shared" si="129"/>
        <v>22667.200000000001</v>
      </c>
      <c r="W111">
        <v>2306</v>
      </c>
      <c r="X111">
        <f t="shared" si="130"/>
        <v>23231.599999999999</v>
      </c>
    </row>
    <row r="112" spans="1:24" x14ac:dyDescent="0.3">
      <c r="A112">
        <v>1207</v>
      </c>
      <c r="B112">
        <f>11825+((11950-11825)/10)*(A112-1200)</f>
        <v>11912.5</v>
      </c>
      <c r="C112">
        <v>1307</v>
      </c>
      <c r="D112">
        <f t="shared" si="131"/>
        <v>13162.8</v>
      </c>
      <c r="E112">
        <v>1407</v>
      </c>
      <c r="F112">
        <f t="shared" si="121"/>
        <v>14403.1</v>
      </c>
      <c r="G112">
        <v>1507</v>
      </c>
      <c r="H112">
        <f t="shared" si="122"/>
        <v>15624.7</v>
      </c>
      <c r="I112">
        <v>1607</v>
      </c>
      <c r="J112">
        <f t="shared" si="123"/>
        <v>16816.900000000001</v>
      </c>
      <c r="K112">
        <v>1707</v>
      </c>
      <c r="L112">
        <f t="shared" si="124"/>
        <v>17970.099999999999</v>
      </c>
      <c r="M112">
        <v>1807</v>
      </c>
      <c r="N112">
        <f t="shared" si="125"/>
        <v>19073.900000000001</v>
      </c>
      <c r="O112">
        <v>1907</v>
      </c>
      <c r="P112">
        <f t="shared" si="126"/>
        <v>20113.7</v>
      </c>
      <c r="Q112">
        <v>2007</v>
      </c>
      <c r="R112">
        <f t="shared" si="127"/>
        <v>21075.4</v>
      </c>
      <c r="S112">
        <v>2107</v>
      </c>
      <c r="T112">
        <f t="shared" si="128"/>
        <v>21937.7</v>
      </c>
      <c r="U112">
        <v>2207</v>
      </c>
      <c r="V112">
        <f t="shared" si="129"/>
        <v>22673.9</v>
      </c>
      <c r="W112">
        <v>2307</v>
      </c>
      <c r="X112">
        <f t="shared" si="130"/>
        <v>23236.2</v>
      </c>
    </row>
    <row r="113" spans="1:24" x14ac:dyDescent="0.3">
      <c r="A113">
        <v>1208</v>
      </c>
      <c r="B113">
        <f t="shared" si="120"/>
        <v>11925</v>
      </c>
      <c r="C113">
        <v>1308</v>
      </c>
      <c r="D113">
        <f>13076+((13200-13076)/10)*(C113-1300)</f>
        <v>13175.2</v>
      </c>
      <c r="E113">
        <v>1408</v>
      </c>
      <c r="F113">
        <v>14317</v>
      </c>
      <c r="G113">
        <v>1508</v>
      </c>
      <c r="H113">
        <f t="shared" si="122"/>
        <v>15636.8</v>
      </c>
      <c r="I113">
        <v>1608</v>
      </c>
      <c r="J113">
        <f t="shared" si="123"/>
        <v>16828.599999999999</v>
      </c>
      <c r="K113">
        <v>1708</v>
      </c>
      <c r="L113">
        <f t="shared" si="124"/>
        <v>17981.400000000001</v>
      </c>
      <c r="M113">
        <v>1808</v>
      </c>
      <c r="N113">
        <f t="shared" si="125"/>
        <v>19084.599999999999</v>
      </c>
      <c r="O113">
        <v>1908</v>
      </c>
      <c r="P113">
        <f t="shared" si="126"/>
        <v>20123.8</v>
      </c>
      <c r="Q113">
        <v>2008</v>
      </c>
      <c r="R113">
        <f t="shared" si="127"/>
        <v>21084.6</v>
      </c>
      <c r="S113">
        <v>2108</v>
      </c>
      <c r="T113">
        <f t="shared" si="128"/>
        <v>21945.8</v>
      </c>
      <c r="U113">
        <v>2208</v>
      </c>
      <c r="V113">
        <f t="shared" si="129"/>
        <v>22680.6</v>
      </c>
      <c r="W113">
        <v>2308</v>
      </c>
      <c r="X113">
        <f t="shared" si="130"/>
        <v>23240.799999999999</v>
      </c>
    </row>
    <row r="114" spans="1:24" x14ac:dyDescent="0.3">
      <c r="A114">
        <v>1209</v>
      </c>
      <c r="B114">
        <f t="shared" si="120"/>
        <v>11937.5</v>
      </c>
      <c r="C114">
        <v>1309</v>
      </c>
      <c r="D114">
        <f t="shared" si="131"/>
        <v>13187.6</v>
      </c>
      <c r="E114">
        <v>1409</v>
      </c>
      <c r="F114">
        <f t="shared" si="121"/>
        <v>14427.7</v>
      </c>
      <c r="G114">
        <v>1509</v>
      </c>
      <c r="H114">
        <f t="shared" si="122"/>
        <v>15648.9</v>
      </c>
      <c r="I114">
        <v>1609</v>
      </c>
      <c r="J114">
        <f t="shared" si="123"/>
        <v>16840.3</v>
      </c>
      <c r="K114">
        <v>1709</v>
      </c>
      <c r="L114">
        <f t="shared" si="124"/>
        <v>17992.7</v>
      </c>
      <c r="M114">
        <v>1809</v>
      </c>
      <c r="N114">
        <f t="shared" si="125"/>
        <v>19095.3</v>
      </c>
      <c r="O114">
        <v>1909</v>
      </c>
      <c r="P114">
        <f t="shared" si="126"/>
        <v>20133.900000000001</v>
      </c>
      <c r="Q114">
        <v>2009</v>
      </c>
      <c r="R114">
        <f t="shared" si="127"/>
        <v>21093.8</v>
      </c>
      <c r="S114">
        <v>2109</v>
      </c>
      <c r="T114">
        <f t="shared" si="128"/>
        <v>21953.9</v>
      </c>
      <c r="U114">
        <v>2209</v>
      </c>
      <c r="V114">
        <f t="shared" si="129"/>
        <v>22687.3</v>
      </c>
      <c r="W114">
        <v>2309</v>
      </c>
      <c r="X114">
        <f t="shared" si="130"/>
        <v>23245.4</v>
      </c>
    </row>
    <row r="115" spans="1:24" x14ac:dyDescent="0.3">
      <c r="A115">
        <v>1210</v>
      </c>
      <c r="B115">
        <v>11950</v>
      </c>
      <c r="C115">
        <v>1310</v>
      </c>
      <c r="D115">
        <v>13200</v>
      </c>
      <c r="E115">
        <v>1410</v>
      </c>
      <c r="F115">
        <v>14440</v>
      </c>
      <c r="G115">
        <v>1510</v>
      </c>
      <c r="H115">
        <v>15661</v>
      </c>
      <c r="I115">
        <v>1610</v>
      </c>
      <c r="J115">
        <v>16852</v>
      </c>
      <c r="K115">
        <v>1710</v>
      </c>
      <c r="L115">
        <v>18004</v>
      </c>
      <c r="M115">
        <v>1810</v>
      </c>
      <c r="N115">
        <v>19106</v>
      </c>
      <c r="O115">
        <v>1910</v>
      </c>
      <c r="P115">
        <v>20144</v>
      </c>
      <c r="Q115">
        <v>2010</v>
      </c>
      <c r="R115">
        <v>21103</v>
      </c>
      <c r="S115">
        <v>2110</v>
      </c>
      <c r="T115">
        <v>21962</v>
      </c>
      <c r="U115">
        <v>2210</v>
      </c>
      <c r="V115">
        <v>22694</v>
      </c>
      <c r="W115">
        <v>2310</v>
      </c>
      <c r="X115">
        <v>23250</v>
      </c>
    </row>
    <row r="116" spans="1:24" x14ac:dyDescent="0.3">
      <c r="A116">
        <v>1211</v>
      </c>
      <c r="B116">
        <f>11950+((12075-11950)/10)*(A116-1210)</f>
        <v>11962.5</v>
      </c>
      <c r="C116">
        <v>1311</v>
      </c>
      <c r="D116">
        <f>13200+((13325-13200)/10)*(C116-1310)</f>
        <v>13212.5</v>
      </c>
      <c r="E116">
        <v>1411</v>
      </c>
      <c r="F116">
        <f>14440+((14563-14440)/10)*(E116-1410)</f>
        <v>14452.3</v>
      </c>
      <c r="G116">
        <v>1511</v>
      </c>
      <c r="H116">
        <f t="shared" ref="H116:H124" si="132">15661+((15781-15661)/10)*(G116-1510)</f>
        <v>15673</v>
      </c>
      <c r="I116">
        <v>1611</v>
      </c>
      <c r="J116">
        <f>16852+((16969-16852)/10)*(I116-1610)</f>
        <v>16863.7</v>
      </c>
      <c r="K116">
        <v>1711</v>
      </c>
      <c r="L116">
        <f>18004+((18117-18004)/10)*(K116-1710)</f>
        <v>18015.3</v>
      </c>
      <c r="M116">
        <v>1811</v>
      </c>
      <c r="N116">
        <f>19106+((19215-19106)/10)*(M116-1810)</f>
        <v>19116.900000000001</v>
      </c>
      <c r="O116">
        <v>1911</v>
      </c>
      <c r="P116">
        <f>20144+((20244-20144)/10)*(O116-1910)</f>
        <v>20154</v>
      </c>
      <c r="Q116">
        <v>2011</v>
      </c>
      <c r="R116">
        <f>21103+((21193-21103)/10)*(Q116-2010)</f>
        <v>21112</v>
      </c>
      <c r="S116">
        <v>2111</v>
      </c>
      <c r="T116">
        <f>21962+((22041-21962)/10)*(S116-2110)</f>
        <v>21969.9</v>
      </c>
      <c r="U116">
        <v>2211</v>
      </c>
      <c r="V116">
        <f>22694+((22758-22694)/10)*(U116-2210)</f>
        <v>22700.400000000001</v>
      </c>
      <c r="W116">
        <v>2311</v>
      </c>
      <c r="X116">
        <f>23250+((23292-23250)/10)*(W116-2310)</f>
        <v>23254.2</v>
      </c>
    </row>
    <row r="117" spans="1:24" x14ac:dyDescent="0.3">
      <c r="A117">
        <v>1212</v>
      </c>
      <c r="B117">
        <f t="shared" ref="B117:B124" si="133">11950+((12075-11950)/10)*(A117-1210)</f>
        <v>11975</v>
      </c>
      <c r="C117">
        <v>1312</v>
      </c>
      <c r="D117">
        <f t="shared" ref="D117:D124" si="134">13200+((13325-13200)/10)*(C117-1310)</f>
        <v>13225</v>
      </c>
      <c r="E117">
        <v>1412</v>
      </c>
      <c r="F117">
        <f>14440+((14563-14440)/10)*(E117-1410)</f>
        <v>14464.6</v>
      </c>
      <c r="G117">
        <v>1512</v>
      </c>
      <c r="H117">
        <f t="shared" si="132"/>
        <v>15685</v>
      </c>
      <c r="I117">
        <v>1612</v>
      </c>
      <c r="J117">
        <f t="shared" ref="J117:J124" si="135">16852+((16969-16852)/10)*(I117-1610)</f>
        <v>16875.400000000001</v>
      </c>
      <c r="K117">
        <v>1712</v>
      </c>
      <c r="L117">
        <f t="shared" ref="L117:L123" si="136">18004+((18117-18004)/10)*(K117-1710)</f>
        <v>18026.599999999999</v>
      </c>
      <c r="M117">
        <v>1812</v>
      </c>
      <c r="N117">
        <f t="shared" ref="N117:N124" si="137">19106+((19215-19106)/10)*(M117-1810)</f>
        <v>19127.8</v>
      </c>
      <c r="O117">
        <v>1912</v>
      </c>
      <c r="P117">
        <f t="shared" ref="P117:P124" si="138">20144+((20244-20144)/10)*(O117-1910)</f>
        <v>20164</v>
      </c>
      <c r="Q117">
        <v>2012</v>
      </c>
      <c r="R117">
        <f t="shared" ref="R117:R124" si="139">21103+((21193-21103)/10)*(Q117-2010)</f>
        <v>21121</v>
      </c>
      <c r="S117">
        <v>2112</v>
      </c>
      <c r="T117">
        <f t="shared" ref="T117:T124" si="140">21962+((22041-21962)/10)*(S117-2110)</f>
        <v>21977.8</v>
      </c>
      <c r="U117">
        <v>2212</v>
      </c>
      <c r="V117">
        <f t="shared" ref="V117:V124" si="141">22694+((22758-22694)/10)*(U117-2210)</f>
        <v>22706.799999999999</v>
      </c>
      <c r="W117">
        <v>2312</v>
      </c>
      <c r="X117">
        <f t="shared" ref="X117:X124" si="142">23250+((23292-23250)/10)*(W117-2310)</f>
        <v>23258.400000000001</v>
      </c>
    </row>
    <row r="118" spans="1:24" x14ac:dyDescent="0.3">
      <c r="A118">
        <v>1213</v>
      </c>
      <c r="B118">
        <f t="shared" si="133"/>
        <v>11987.5</v>
      </c>
      <c r="C118">
        <v>1313</v>
      </c>
      <c r="D118">
        <f t="shared" si="134"/>
        <v>13237.5</v>
      </c>
      <c r="E118">
        <v>1413</v>
      </c>
      <c r="F118">
        <f>14440+((14563-14440)/10)*(E118-1410)</f>
        <v>14476.9</v>
      </c>
      <c r="G118">
        <v>1513</v>
      </c>
      <c r="H118">
        <f t="shared" si="132"/>
        <v>15697</v>
      </c>
      <c r="I118">
        <v>1613</v>
      </c>
      <c r="J118">
        <f t="shared" si="135"/>
        <v>16887.099999999999</v>
      </c>
      <c r="K118">
        <v>1713</v>
      </c>
      <c r="L118">
        <f t="shared" si="136"/>
        <v>18037.900000000001</v>
      </c>
      <c r="M118">
        <v>1813</v>
      </c>
      <c r="N118">
        <f t="shared" si="137"/>
        <v>19138.7</v>
      </c>
      <c r="O118">
        <v>1913</v>
      </c>
      <c r="P118">
        <f t="shared" si="138"/>
        <v>20174</v>
      </c>
      <c r="Q118">
        <v>2013</v>
      </c>
      <c r="R118">
        <f t="shared" si="139"/>
        <v>21130</v>
      </c>
      <c r="S118">
        <v>2113</v>
      </c>
      <c r="T118">
        <f t="shared" si="140"/>
        <v>21985.7</v>
      </c>
      <c r="U118">
        <v>2213</v>
      </c>
      <c r="V118">
        <f t="shared" si="141"/>
        <v>22713.200000000001</v>
      </c>
      <c r="W118">
        <v>2313</v>
      </c>
      <c r="X118">
        <f t="shared" si="142"/>
        <v>23262.6</v>
      </c>
    </row>
    <row r="119" spans="1:24" x14ac:dyDescent="0.3">
      <c r="A119">
        <v>1214</v>
      </c>
      <c r="B119">
        <f>11950+((12075-11950)/10)*(A119-1210)</f>
        <v>12000</v>
      </c>
      <c r="C119">
        <v>1314</v>
      </c>
      <c r="D119">
        <f t="shared" si="134"/>
        <v>13250</v>
      </c>
      <c r="E119">
        <v>1414</v>
      </c>
      <c r="F119">
        <f t="shared" ref="F119:F124" si="143">14440+((14563-14440)/10)*(E119-1410)</f>
        <v>14489.2</v>
      </c>
      <c r="G119">
        <v>1514</v>
      </c>
      <c r="H119">
        <f t="shared" si="132"/>
        <v>15709</v>
      </c>
      <c r="I119">
        <v>1614</v>
      </c>
      <c r="J119">
        <f t="shared" si="135"/>
        <v>16898.8</v>
      </c>
      <c r="K119">
        <v>1714</v>
      </c>
      <c r="L119">
        <f t="shared" si="136"/>
        <v>18049.2</v>
      </c>
      <c r="M119">
        <v>1814</v>
      </c>
      <c r="N119">
        <f t="shared" si="137"/>
        <v>19149.599999999999</v>
      </c>
      <c r="O119">
        <v>1914</v>
      </c>
      <c r="P119">
        <f t="shared" si="138"/>
        <v>20184</v>
      </c>
      <c r="Q119">
        <v>2014</v>
      </c>
      <c r="R119">
        <f t="shared" si="139"/>
        <v>21139</v>
      </c>
      <c r="S119">
        <v>2114</v>
      </c>
      <c r="T119">
        <f>21962+((22041-21962)/10)*(S119-2110)</f>
        <v>21993.599999999999</v>
      </c>
      <c r="U119">
        <v>2214</v>
      </c>
      <c r="V119">
        <f t="shared" si="141"/>
        <v>22719.599999999999</v>
      </c>
      <c r="W119">
        <v>2314</v>
      </c>
      <c r="X119">
        <f t="shared" si="142"/>
        <v>23266.799999999999</v>
      </c>
    </row>
    <row r="120" spans="1:24" x14ac:dyDescent="0.3">
      <c r="A120">
        <v>1215</v>
      </c>
      <c r="B120">
        <f t="shared" si="133"/>
        <v>12012.5</v>
      </c>
      <c r="C120">
        <v>1315</v>
      </c>
      <c r="D120">
        <f t="shared" si="134"/>
        <v>13262.5</v>
      </c>
      <c r="E120">
        <v>1415</v>
      </c>
      <c r="F120">
        <f t="shared" si="143"/>
        <v>14501.5</v>
      </c>
      <c r="G120">
        <v>1515</v>
      </c>
      <c r="H120">
        <f t="shared" si="132"/>
        <v>15721</v>
      </c>
      <c r="I120">
        <v>1615</v>
      </c>
      <c r="J120">
        <f t="shared" si="135"/>
        <v>16910.5</v>
      </c>
      <c r="K120">
        <v>1715</v>
      </c>
      <c r="L120">
        <f t="shared" si="136"/>
        <v>18060.5</v>
      </c>
      <c r="M120">
        <v>1815</v>
      </c>
      <c r="N120">
        <f t="shared" si="137"/>
        <v>19160.5</v>
      </c>
      <c r="O120">
        <v>1915</v>
      </c>
      <c r="P120">
        <f t="shared" si="138"/>
        <v>20194</v>
      </c>
      <c r="Q120">
        <v>2015</v>
      </c>
      <c r="R120">
        <f t="shared" si="139"/>
        <v>21148</v>
      </c>
      <c r="S120">
        <v>2115</v>
      </c>
      <c r="T120">
        <f t="shared" si="140"/>
        <v>22001.5</v>
      </c>
      <c r="U120">
        <v>2215</v>
      </c>
      <c r="V120">
        <f t="shared" si="141"/>
        <v>22726</v>
      </c>
      <c r="W120">
        <v>2315</v>
      </c>
      <c r="X120">
        <f t="shared" si="142"/>
        <v>23271</v>
      </c>
    </row>
    <row r="121" spans="1:24" x14ac:dyDescent="0.3">
      <c r="A121">
        <v>1216</v>
      </c>
      <c r="B121">
        <f t="shared" si="133"/>
        <v>12025</v>
      </c>
      <c r="C121">
        <v>1316</v>
      </c>
      <c r="D121">
        <f t="shared" si="134"/>
        <v>13275</v>
      </c>
      <c r="E121">
        <v>1416</v>
      </c>
      <c r="F121">
        <f t="shared" si="143"/>
        <v>14513.8</v>
      </c>
      <c r="G121">
        <v>1516</v>
      </c>
      <c r="H121">
        <f t="shared" si="132"/>
        <v>15733</v>
      </c>
      <c r="I121">
        <v>1616</v>
      </c>
      <c r="J121">
        <f t="shared" si="135"/>
        <v>16922.2</v>
      </c>
      <c r="K121">
        <v>1716</v>
      </c>
      <c r="L121">
        <f t="shared" si="136"/>
        <v>18071.8</v>
      </c>
      <c r="M121">
        <v>1816</v>
      </c>
      <c r="N121">
        <f t="shared" si="137"/>
        <v>19171.400000000001</v>
      </c>
      <c r="O121">
        <v>1916</v>
      </c>
      <c r="P121">
        <f t="shared" si="138"/>
        <v>20204</v>
      </c>
      <c r="Q121">
        <v>2016</v>
      </c>
      <c r="R121">
        <f t="shared" si="139"/>
        <v>21157</v>
      </c>
      <c r="S121">
        <v>2116</v>
      </c>
      <c r="T121">
        <f t="shared" si="140"/>
        <v>22009.4</v>
      </c>
      <c r="U121">
        <v>2216</v>
      </c>
      <c r="V121">
        <f t="shared" si="141"/>
        <v>22732.400000000001</v>
      </c>
      <c r="W121">
        <v>2316</v>
      </c>
      <c r="X121">
        <f t="shared" si="142"/>
        <v>23275.200000000001</v>
      </c>
    </row>
    <row r="122" spans="1:24" x14ac:dyDescent="0.3">
      <c r="A122">
        <v>1217</v>
      </c>
      <c r="B122">
        <f t="shared" si="133"/>
        <v>12037.5</v>
      </c>
      <c r="C122">
        <v>1317</v>
      </c>
      <c r="D122">
        <f t="shared" si="134"/>
        <v>13287.5</v>
      </c>
      <c r="E122">
        <v>1417</v>
      </c>
      <c r="F122">
        <f t="shared" si="143"/>
        <v>14526.1</v>
      </c>
      <c r="G122">
        <v>1517</v>
      </c>
      <c r="H122">
        <f t="shared" si="132"/>
        <v>15745</v>
      </c>
      <c r="I122">
        <v>1617</v>
      </c>
      <c r="J122">
        <f t="shared" si="135"/>
        <v>16933.900000000001</v>
      </c>
      <c r="K122">
        <v>1717</v>
      </c>
      <c r="L122">
        <f t="shared" si="136"/>
        <v>18083.099999999999</v>
      </c>
      <c r="M122">
        <v>1817</v>
      </c>
      <c r="N122">
        <f t="shared" si="137"/>
        <v>19182.3</v>
      </c>
      <c r="O122">
        <v>1917</v>
      </c>
      <c r="P122">
        <f t="shared" si="138"/>
        <v>20214</v>
      </c>
      <c r="Q122">
        <v>2017</v>
      </c>
      <c r="R122">
        <f t="shared" si="139"/>
        <v>21166</v>
      </c>
      <c r="S122">
        <v>2117</v>
      </c>
      <c r="T122">
        <f t="shared" si="140"/>
        <v>22017.3</v>
      </c>
      <c r="U122">
        <v>2217</v>
      </c>
      <c r="V122">
        <f t="shared" si="141"/>
        <v>22738.799999999999</v>
      </c>
      <c r="W122">
        <v>2317</v>
      </c>
      <c r="X122">
        <f t="shared" si="142"/>
        <v>23279.4</v>
      </c>
    </row>
    <row r="123" spans="1:24" x14ac:dyDescent="0.3">
      <c r="A123">
        <v>1218</v>
      </c>
      <c r="B123">
        <f t="shared" si="133"/>
        <v>12050</v>
      </c>
      <c r="C123">
        <v>1318</v>
      </c>
      <c r="D123">
        <f t="shared" si="134"/>
        <v>13300</v>
      </c>
      <c r="E123">
        <v>1418</v>
      </c>
      <c r="F123">
        <f t="shared" si="143"/>
        <v>14538.4</v>
      </c>
      <c r="G123">
        <v>1518</v>
      </c>
      <c r="H123">
        <f t="shared" si="132"/>
        <v>15757</v>
      </c>
      <c r="I123">
        <v>1618</v>
      </c>
      <c r="J123">
        <f t="shared" si="135"/>
        <v>16945.599999999999</v>
      </c>
      <c r="K123">
        <v>1718</v>
      </c>
      <c r="L123">
        <f t="shared" si="136"/>
        <v>18094.400000000001</v>
      </c>
      <c r="M123">
        <v>1818</v>
      </c>
      <c r="N123">
        <f t="shared" si="137"/>
        <v>19193.2</v>
      </c>
      <c r="O123">
        <v>1918</v>
      </c>
      <c r="P123">
        <f t="shared" si="138"/>
        <v>20224</v>
      </c>
      <c r="Q123">
        <v>2018</v>
      </c>
      <c r="R123">
        <f t="shared" si="139"/>
        <v>21175</v>
      </c>
      <c r="S123">
        <v>2118</v>
      </c>
      <c r="T123">
        <f t="shared" si="140"/>
        <v>22025.200000000001</v>
      </c>
      <c r="U123">
        <v>2218</v>
      </c>
      <c r="V123">
        <f t="shared" si="141"/>
        <v>22745.200000000001</v>
      </c>
      <c r="W123">
        <v>2318</v>
      </c>
      <c r="X123">
        <f t="shared" si="142"/>
        <v>23283.599999999999</v>
      </c>
    </row>
    <row r="124" spans="1:24" x14ac:dyDescent="0.3">
      <c r="A124">
        <v>1219</v>
      </c>
      <c r="B124">
        <f t="shared" si="133"/>
        <v>12062.5</v>
      </c>
      <c r="C124">
        <v>1319</v>
      </c>
      <c r="D124">
        <f t="shared" si="134"/>
        <v>13312.5</v>
      </c>
      <c r="E124">
        <v>1419</v>
      </c>
      <c r="F124">
        <f t="shared" si="143"/>
        <v>14550.7</v>
      </c>
      <c r="G124">
        <v>1519</v>
      </c>
      <c r="H124">
        <f t="shared" si="132"/>
        <v>15769</v>
      </c>
      <c r="I124">
        <v>1619</v>
      </c>
      <c r="J124">
        <f t="shared" si="135"/>
        <v>16957.3</v>
      </c>
      <c r="K124">
        <v>1719</v>
      </c>
      <c r="L124">
        <v>7</v>
      </c>
      <c r="M124">
        <v>1819</v>
      </c>
      <c r="N124">
        <f t="shared" si="137"/>
        <v>19204.099999999999</v>
      </c>
      <c r="O124">
        <v>1919</v>
      </c>
      <c r="P124">
        <f t="shared" si="138"/>
        <v>20234</v>
      </c>
      <c r="Q124">
        <v>2019</v>
      </c>
      <c r="R124">
        <f t="shared" si="139"/>
        <v>21184</v>
      </c>
      <c r="S124">
        <v>2119</v>
      </c>
      <c r="T124">
        <f t="shared" si="140"/>
        <v>22033.1</v>
      </c>
      <c r="U124">
        <v>2219</v>
      </c>
      <c r="V124">
        <f t="shared" si="141"/>
        <v>22751.599999999999</v>
      </c>
      <c r="W124">
        <v>2319</v>
      </c>
      <c r="X124">
        <f t="shared" si="142"/>
        <v>23287.8</v>
      </c>
    </row>
    <row r="125" spans="1:24" x14ac:dyDescent="0.3">
      <c r="A125">
        <v>1220</v>
      </c>
      <c r="B125">
        <v>12075</v>
      </c>
      <c r="C125">
        <v>1320</v>
      </c>
      <c r="D125">
        <v>13325</v>
      </c>
      <c r="E125">
        <v>1420</v>
      </c>
      <c r="F125">
        <v>14563</v>
      </c>
      <c r="G125">
        <v>1520</v>
      </c>
      <c r="H125">
        <v>15781</v>
      </c>
      <c r="I125">
        <v>1620</v>
      </c>
      <c r="J125">
        <v>16969</v>
      </c>
      <c r="K125">
        <v>1720</v>
      </c>
      <c r="L125">
        <v>18117</v>
      </c>
      <c r="M125">
        <v>1820</v>
      </c>
      <c r="N125">
        <v>19215</v>
      </c>
      <c r="O125">
        <v>1920</v>
      </c>
      <c r="P125">
        <v>20244</v>
      </c>
      <c r="Q125">
        <v>2020</v>
      </c>
      <c r="R125">
        <v>21193</v>
      </c>
      <c r="S125">
        <v>2120</v>
      </c>
      <c r="T125">
        <v>22041</v>
      </c>
      <c r="U125">
        <v>2220</v>
      </c>
      <c r="V125">
        <v>22758</v>
      </c>
      <c r="W125">
        <v>2320</v>
      </c>
      <c r="X125">
        <v>23292</v>
      </c>
    </row>
    <row r="126" spans="1:24" x14ac:dyDescent="0.3">
      <c r="A126">
        <v>1221</v>
      </c>
      <c r="B126">
        <f>12075+((12200-12075)/10)*(A126-1220)</f>
        <v>12087.5</v>
      </c>
      <c r="C126">
        <v>1321</v>
      </c>
      <c r="D126">
        <f>13325+((13449-13325)/10)*(C126-1320)</f>
        <v>13337.4</v>
      </c>
      <c r="E126">
        <v>1421</v>
      </c>
      <c r="F126">
        <f>14563+((14686-14563)/10)*(E126-1420)</f>
        <v>14575.3</v>
      </c>
      <c r="G126">
        <v>1521</v>
      </c>
      <c r="H126">
        <f>15781+((15902-15781)/10)*(G126-1520)</f>
        <v>15793.1</v>
      </c>
      <c r="I126">
        <v>1621</v>
      </c>
      <c r="J126">
        <f t="shared" ref="J126:J133" si="144">16969+((17086-16969)/10)*(I126-1620)</f>
        <v>16980.7</v>
      </c>
      <c r="K126">
        <v>1721</v>
      </c>
      <c r="L126">
        <f>18117+((18229-18117)/10)*(K126-1720)</f>
        <v>18128.2</v>
      </c>
      <c r="M126">
        <v>1821</v>
      </c>
      <c r="N126">
        <f>19215+((19319-19215)/10)*(M126-1820)</f>
        <v>19225.400000000001</v>
      </c>
      <c r="O126">
        <v>1921</v>
      </c>
      <c r="P126">
        <f>20244+((20343-20244)/10)*(O126-1920)</f>
        <v>20253.900000000001</v>
      </c>
      <c r="Q126">
        <v>2021</v>
      </c>
      <c r="R126">
        <f>21193+((21283-21193)/10)*(Q126-2020)</f>
        <v>21202</v>
      </c>
      <c r="S126">
        <v>2121</v>
      </c>
      <c r="T126">
        <f>22041+((22120-22041)/10)*(S126-2120)</f>
        <v>22048.9</v>
      </c>
      <c r="U126">
        <v>2221</v>
      </c>
      <c r="V126">
        <f>22758+((22821-22758)/10)*(U126-2220)</f>
        <v>22764.3</v>
      </c>
      <c r="W126">
        <v>2321</v>
      </c>
      <c r="X126">
        <f>23292+((23332-23292)/10)*(W126-2320)</f>
        <v>23296</v>
      </c>
    </row>
    <row r="127" spans="1:24" x14ac:dyDescent="0.3">
      <c r="A127">
        <v>1222</v>
      </c>
      <c r="B127">
        <f t="shared" ref="B127:B134" si="145">12075+((12200-12075)/10)*(A127-1220)</f>
        <v>12100</v>
      </c>
      <c r="C127">
        <v>1322</v>
      </c>
      <c r="D127">
        <f t="shared" ref="D127:D134" si="146">13325+((13449-13325)/10)*(C127-1320)</f>
        <v>13349.8</v>
      </c>
      <c r="E127">
        <v>1422</v>
      </c>
      <c r="F127">
        <f t="shared" ref="F127:F134" si="147">14563+((14686-14563)/10)*(E127-1420)</f>
        <v>14587.6</v>
      </c>
      <c r="G127">
        <v>1522</v>
      </c>
      <c r="H127">
        <f t="shared" ref="H127:H134" si="148">15781+((15902-15781)/10)*(G127-1520)</f>
        <v>15805.2</v>
      </c>
      <c r="I127">
        <v>1622</v>
      </c>
      <c r="J127">
        <f t="shared" si="144"/>
        <v>16992.400000000001</v>
      </c>
      <c r="K127">
        <v>1722</v>
      </c>
      <c r="L127">
        <f t="shared" ref="L127:L134" si="149">18117+((18229-18117)/10)*(K127-1720)</f>
        <v>18139.400000000001</v>
      </c>
      <c r="M127">
        <v>1822</v>
      </c>
      <c r="N127">
        <f t="shared" ref="N127:N134" si="150">19215+((19319-19215)/10)*(M127-1820)</f>
        <v>19235.8</v>
      </c>
      <c r="O127">
        <v>1922</v>
      </c>
      <c r="P127">
        <f t="shared" ref="P127:P134" si="151">20244+((20343-20244)/10)*(O127-1920)</f>
        <v>20263.8</v>
      </c>
      <c r="Q127">
        <v>2022</v>
      </c>
      <c r="R127">
        <f t="shared" ref="R127:R134" si="152">21193+((21283-21193)/10)*(Q127-2020)</f>
        <v>21211</v>
      </c>
      <c r="S127">
        <v>2122</v>
      </c>
      <c r="T127">
        <f t="shared" ref="T127:T134" si="153">22041+((22120-22041)/10)*(S127-2120)</f>
        <v>22056.799999999999</v>
      </c>
      <c r="U127">
        <v>2222</v>
      </c>
      <c r="V127">
        <f t="shared" ref="V127:V134" si="154">22758+((22821-22758)/10)*(U127-2220)</f>
        <v>22770.6</v>
      </c>
      <c r="W127">
        <v>2322</v>
      </c>
      <c r="X127">
        <f t="shared" ref="X127:X134" si="155">23292+((23332-23292)/10)*(W127-2320)</f>
        <v>23300</v>
      </c>
    </row>
    <row r="128" spans="1:24" x14ac:dyDescent="0.3">
      <c r="A128">
        <v>1223</v>
      </c>
      <c r="B128">
        <f t="shared" si="145"/>
        <v>12112.5</v>
      </c>
      <c r="C128">
        <v>1323</v>
      </c>
      <c r="D128">
        <f t="shared" si="146"/>
        <v>13362.2</v>
      </c>
      <c r="E128">
        <v>1423</v>
      </c>
      <c r="F128">
        <f t="shared" si="147"/>
        <v>14599.9</v>
      </c>
      <c r="G128">
        <v>1523</v>
      </c>
      <c r="H128">
        <f t="shared" si="148"/>
        <v>15817.3</v>
      </c>
      <c r="I128">
        <v>1623</v>
      </c>
      <c r="J128">
        <f t="shared" si="144"/>
        <v>17004.099999999999</v>
      </c>
      <c r="K128">
        <v>1723</v>
      </c>
      <c r="L128">
        <f t="shared" si="149"/>
        <v>18150.599999999999</v>
      </c>
      <c r="M128">
        <v>1823</v>
      </c>
      <c r="N128">
        <f t="shared" si="150"/>
        <v>19246.2</v>
      </c>
      <c r="O128">
        <v>1923</v>
      </c>
      <c r="P128">
        <f t="shared" si="151"/>
        <v>20273.7</v>
      </c>
      <c r="Q128">
        <v>2023</v>
      </c>
      <c r="R128">
        <f t="shared" si="152"/>
        <v>21220</v>
      </c>
      <c r="S128">
        <v>2123</v>
      </c>
      <c r="T128">
        <f t="shared" si="153"/>
        <v>22064.7</v>
      </c>
      <c r="U128">
        <v>2223</v>
      </c>
      <c r="V128">
        <f t="shared" si="154"/>
        <v>22776.9</v>
      </c>
      <c r="W128">
        <v>2323</v>
      </c>
      <c r="X128">
        <f t="shared" si="155"/>
        <v>23304</v>
      </c>
    </row>
    <row r="129" spans="1:24" x14ac:dyDescent="0.3">
      <c r="A129">
        <v>1224</v>
      </c>
      <c r="B129">
        <f t="shared" si="145"/>
        <v>12125</v>
      </c>
      <c r="C129">
        <v>1324</v>
      </c>
      <c r="D129">
        <f t="shared" si="146"/>
        <v>13374.6</v>
      </c>
      <c r="E129">
        <v>1424</v>
      </c>
      <c r="F129">
        <f t="shared" si="147"/>
        <v>14612.2</v>
      </c>
      <c r="G129">
        <v>1524</v>
      </c>
      <c r="H129">
        <f t="shared" si="148"/>
        <v>15829.4</v>
      </c>
      <c r="I129">
        <v>1624</v>
      </c>
      <c r="J129">
        <f t="shared" si="144"/>
        <v>17015.8</v>
      </c>
      <c r="K129">
        <v>1724</v>
      </c>
      <c r="L129">
        <f t="shared" si="149"/>
        <v>18161.8</v>
      </c>
      <c r="M129">
        <v>1824</v>
      </c>
      <c r="N129">
        <f t="shared" si="150"/>
        <v>19256.599999999999</v>
      </c>
      <c r="O129">
        <v>1924</v>
      </c>
      <c r="P129">
        <f t="shared" si="151"/>
        <v>20283.599999999999</v>
      </c>
      <c r="Q129">
        <v>2024</v>
      </c>
      <c r="R129">
        <f t="shared" si="152"/>
        <v>21229</v>
      </c>
      <c r="S129">
        <v>2124</v>
      </c>
      <c r="T129">
        <f t="shared" si="153"/>
        <v>22072.6</v>
      </c>
      <c r="U129">
        <v>2224</v>
      </c>
      <c r="V129">
        <f t="shared" si="154"/>
        <v>22783.200000000001</v>
      </c>
      <c r="W129">
        <v>2324</v>
      </c>
      <c r="X129">
        <f t="shared" si="155"/>
        <v>23308</v>
      </c>
    </row>
    <row r="130" spans="1:24" x14ac:dyDescent="0.3">
      <c r="A130">
        <v>1225</v>
      </c>
      <c r="B130">
        <f t="shared" si="145"/>
        <v>12137.5</v>
      </c>
      <c r="C130">
        <v>1325</v>
      </c>
      <c r="D130">
        <f t="shared" si="146"/>
        <v>13387</v>
      </c>
      <c r="E130">
        <v>1425</v>
      </c>
      <c r="F130">
        <f t="shared" si="147"/>
        <v>14624.5</v>
      </c>
      <c r="G130">
        <v>1525</v>
      </c>
      <c r="H130">
        <f t="shared" si="148"/>
        <v>15841.5</v>
      </c>
      <c r="I130">
        <v>1625</v>
      </c>
      <c r="J130">
        <f t="shared" si="144"/>
        <v>17027.5</v>
      </c>
      <c r="K130">
        <v>1725</v>
      </c>
      <c r="L130">
        <f t="shared" si="149"/>
        <v>18173</v>
      </c>
      <c r="M130">
        <v>1825</v>
      </c>
      <c r="N130">
        <f t="shared" si="150"/>
        <v>19267</v>
      </c>
      <c r="O130">
        <v>1925</v>
      </c>
      <c r="P130">
        <f t="shared" si="151"/>
        <v>20293.5</v>
      </c>
      <c r="Q130">
        <v>2025</v>
      </c>
      <c r="R130">
        <f t="shared" si="152"/>
        <v>21238</v>
      </c>
      <c r="S130">
        <v>2125</v>
      </c>
      <c r="T130">
        <f t="shared" si="153"/>
        <v>22080.5</v>
      </c>
      <c r="U130">
        <v>2225</v>
      </c>
      <c r="V130">
        <f t="shared" si="154"/>
        <v>22789.5</v>
      </c>
      <c r="W130">
        <v>2325</v>
      </c>
      <c r="X130">
        <f t="shared" si="155"/>
        <v>23312</v>
      </c>
    </row>
    <row r="131" spans="1:24" x14ac:dyDescent="0.3">
      <c r="A131">
        <v>1226</v>
      </c>
      <c r="B131">
        <f t="shared" si="145"/>
        <v>12150</v>
      </c>
      <c r="C131">
        <v>1326</v>
      </c>
      <c r="D131">
        <f t="shared" si="146"/>
        <v>13399.4</v>
      </c>
      <c r="E131">
        <v>1426</v>
      </c>
      <c r="F131">
        <f t="shared" si="147"/>
        <v>14636.8</v>
      </c>
      <c r="G131">
        <v>1526</v>
      </c>
      <c r="H131">
        <f t="shared" si="148"/>
        <v>15853.6</v>
      </c>
      <c r="I131">
        <v>1626</v>
      </c>
      <c r="J131">
        <f t="shared" si="144"/>
        <v>17039.2</v>
      </c>
      <c r="K131">
        <v>1726</v>
      </c>
      <c r="L131">
        <f t="shared" si="149"/>
        <v>18184.2</v>
      </c>
      <c r="M131">
        <v>1826</v>
      </c>
      <c r="N131">
        <f t="shared" si="150"/>
        <v>19277.400000000001</v>
      </c>
      <c r="O131">
        <v>1926</v>
      </c>
      <c r="P131">
        <f t="shared" si="151"/>
        <v>20303.400000000001</v>
      </c>
      <c r="Q131">
        <v>2026</v>
      </c>
      <c r="R131">
        <f t="shared" si="152"/>
        <v>21247</v>
      </c>
      <c r="S131">
        <v>2126</v>
      </c>
      <c r="T131">
        <f t="shared" si="153"/>
        <v>22088.400000000001</v>
      </c>
      <c r="U131">
        <v>2226</v>
      </c>
      <c r="V131">
        <f t="shared" si="154"/>
        <v>22795.8</v>
      </c>
      <c r="W131">
        <v>2326</v>
      </c>
      <c r="X131">
        <f t="shared" si="155"/>
        <v>23316</v>
      </c>
    </row>
    <row r="132" spans="1:24" x14ac:dyDescent="0.3">
      <c r="A132">
        <v>1227</v>
      </c>
      <c r="B132">
        <f t="shared" si="145"/>
        <v>12162.5</v>
      </c>
      <c r="C132">
        <v>1327</v>
      </c>
      <c r="D132">
        <f t="shared" si="146"/>
        <v>13411.8</v>
      </c>
      <c r="E132">
        <v>1427</v>
      </c>
      <c r="F132">
        <f>16735+((16852-16735)/10)*(E132-1600)</f>
        <v>14710.9</v>
      </c>
      <c r="G132">
        <v>1527</v>
      </c>
      <c r="H132">
        <f t="shared" si="148"/>
        <v>15865.7</v>
      </c>
      <c r="I132">
        <v>1627</v>
      </c>
      <c r="J132">
        <f t="shared" si="144"/>
        <v>17050.900000000001</v>
      </c>
      <c r="K132">
        <v>1727</v>
      </c>
      <c r="L132">
        <f t="shared" si="149"/>
        <v>18195.400000000001</v>
      </c>
      <c r="M132">
        <v>1827</v>
      </c>
      <c r="N132">
        <f t="shared" si="150"/>
        <v>19287.8</v>
      </c>
      <c r="O132">
        <v>1927</v>
      </c>
      <c r="P132">
        <f t="shared" si="151"/>
        <v>20313.3</v>
      </c>
      <c r="Q132">
        <v>2027</v>
      </c>
      <c r="R132">
        <f t="shared" si="152"/>
        <v>21256</v>
      </c>
      <c r="S132">
        <v>2127</v>
      </c>
      <c r="T132">
        <f t="shared" si="153"/>
        <v>22096.3</v>
      </c>
      <c r="U132">
        <v>2227</v>
      </c>
      <c r="V132">
        <f t="shared" si="154"/>
        <v>22802.1</v>
      </c>
      <c r="W132">
        <v>2327</v>
      </c>
      <c r="X132">
        <f t="shared" si="155"/>
        <v>23320</v>
      </c>
    </row>
    <row r="133" spans="1:24" x14ac:dyDescent="0.3">
      <c r="A133">
        <v>1228</v>
      </c>
      <c r="B133">
        <f t="shared" si="145"/>
        <v>12175</v>
      </c>
      <c r="C133">
        <v>1328</v>
      </c>
      <c r="D133">
        <f t="shared" si="146"/>
        <v>13424.2</v>
      </c>
      <c r="E133">
        <v>1428</v>
      </c>
      <c r="F133">
        <f t="shared" si="147"/>
        <v>14661.4</v>
      </c>
      <c r="G133">
        <v>1528</v>
      </c>
      <c r="H133">
        <f t="shared" si="148"/>
        <v>15877.8</v>
      </c>
      <c r="I133">
        <v>1628</v>
      </c>
      <c r="J133">
        <f t="shared" si="144"/>
        <v>17062.599999999999</v>
      </c>
      <c r="K133">
        <v>1728</v>
      </c>
      <c r="L133">
        <f>19530+((19634-19530)/10)*(K133-1850)</f>
        <v>18261.2</v>
      </c>
      <c r="M133">
        <v>1828</v>
      </c>
      <c r="N133">
        <f t="shared" si="150"/>
        <v>19298.2</v>
      </c>
      <c r="O133">
        <v>1928</v>
      </c>
      <c r="P133">
        <f t="shared" si="151"/>
        <v>20323.2</v>
      </c>
      <c r="Q133">
        <v>2028</v>
      </c>
      <c r="R133">
        <f t="shared" si="152"/>
        <v>21265</v>
      </c>
      <c r="S133">
        <v>2128</v>
      </c>
      <c r="T133">
        <f t="shared" si="153"/>
        <v>22104.2</v>
      </c>
      <c r="U133">
        <v>2228</v>
      </c>
      <c r="V133">
        <f t="shared" si="154"/>
        <v>22808.400000000001</v>
      </c>
      <c r="W133">
        <v>2328</v>
      </c>
      <c r="X133">
        <f t="shared" si="155"/>
        <v>23324</v>
      </c>
    </row>
    <row r="134" spans="1:24" x14ac:dyDescent="0.3">
      <c r="A134">
        <v>1229</v>
      </c>
      <c r="B134">
        <f t="shared" si="145"/>
        <v>12187.5</v>
      </c>
      <c r="C134">
        <v>1329</v>
      </c>
      <c r="D134">
        <f t="shared" si="146"/>
        <v>13436.6</v>
      </c>
      <c r="E134">
        <v>1429</v>
      </c>
      <c r="F134">
        <f t="shared" si="147"/>
        <v>14673.7</v>
      </c>
      <c r="G134">
        <v>1529</v>
      </c>
      <c r="H134">
        <f t="shared" si="148"/>
        <v>15889.9</v>
      </c>
      <c r="I134">
        <v>1629</v>
      </c>
      <c r="J134">
        <v>7</v>
      </c>
      <c r="K134">
        <v>1729</v>
      </c>
      <c r="L134">
        <f t="shared" si="149"/>
        <v>18217.8</v>
      </c>
      <c r="M134">
        <v>1829</v>
      </c>
      <c r="N134">
        <f t="shared" si="150"/>
        <v>19308.599999999999</v>
      </c>
      <c r="O134">
        <v>1929</v>
      </c>
      <c r="P134">
        <f t="shared" si="151"/>
        <v>20333.099999999999</v>
      </c>
      <c r="Q134">
        <v>2029</v>
      </c>
      <c r="R134">
        <f t="shared" si="152"/>
        <v>21274</v>
      </c>
      <c r="S134">
        <v>2129</v>
      </c>
      <c r="T134">
        <f t="shared" si="153"/>
        <v>22112.1</v>
      </c>
      <c r="U134">
        <v>2229</v>
      </c>
      <c r="V134">
        <f t="shared" si="154"/>
        <v>22814.7</v>
      </c>
      <c r="W134">
        <v>2329</v>
      </c>
      <c r="X134">
        <f t="shared" si="155"/>
        <v>23328</v>
      </c>
    </row>
    <row r="135" spans="1:24" x14ac:dyDescent="0.3">
      <c r="A135">
        <v>1230</v>
      </c>
      <c r="B135">
        <v>12200</v>
      </c>
      <c r="C135">
        <v>1330</v>
      </c>
      <c r="D135">
        <v>13449</v>
      </c>
      <c r="E135">
        <v>1430</v>
      </c>
      <c r="F135">
        <v>14686</v>
      </c>
      <c r="G135">
        <v>1530</v>
      </c>
      <c r="H135">
        <v>15902</v>
      </c>
      <c r="I135">
        <v>1630</v>
      </c>
      <c r="J135">
        <v>17086</v>
      </c>
      <c r="K135">
        <v>1730</v>
      </c>
      <c r="L135">
        <v>18229</v>
      </c>
      <c r="M135">
        <v>1830</v>
      </c>
      <c r="N135">
        <v>19319</v>
      </c>
      <c r="O135">
        <v>1930</v>
      </c>
      <c r="P135">
        <v>20343</v>
      </c>
      <c r="Q135">
        <v>2030</v>
      </c>
      <c r="R135">
        <v>21283</v>
      </c>
      <c r="S135">
        <v>2130</v>
      </c>
      <c r="T135">
        <v>22120</v>
      </c>
      <c r="U135">
        <v>2230</v>
      </c>
      <c r="V135">
        <v>22821</v>
      </c>
      <c r="W135">
        <v>2330</v>
      </c>
      <c r="X135">
        <v>23332</v>
      </c>
    </row>
    <row r="136" spans="1:24" x14ac:dyDescent="0.3">
      <c r="A136">
        <v>1231</v>
      </c>
      <c r="B136">
        <f>12200+((12326-12200)/10)*(A136-1230)</f>
        <v>12212.6</v>
      </c>
      <c r="C136">
        <v>1331</v>
      </c>
      <c r="D136">
        <f>13449+((13574-13449)/10)*(C136-1330)</f>
        <v>13461.5</v>
      </c>
      <c r="E136">
        <v>1431</v>
      </c>
      <c r="F136">
        <f>14686+((14809-14686)/10)*(E136-1430)</f>
        <v>14698.3</v>
      </c>
      <c r="G136">
        <v>1531</v>
      </c>
      <c r="H136">
        <f>15902+((16022-15902)/10)*(G136-1530)</f>
        <v>15914</v>
      </c>
      <c r="I136">
        <v>1631</v>
      </c>
      <c r="J136">
        <f>17086+((17203-17086)/10)*(I136-1630)</f>
        <v>17097.7</v>
      </c>
      <c r="K136">
        <v>1731</v>
      </c>
      <c r="L136">
        <f>18229+((18341-18229)/10)*(K136-1730)</f>
        <v>18240.2</v>
      </c>
      <c r="M136">
        <v>1831</v>
      </c>
      <c r="N136">
        <f>19319+((19425-19319)/10)*(M136-1830)</f>
        <v>19329.599999999999</v>
      </c>
      <c r="O136">
        <v>1931</v>
      </c>
      <c r="P136">
        <f>20343+((20441-20343)/10)*(O136-1920)</f>
        <v>20450.8</v>
      </c>
      <c r="Q136">
        <v>2031</v>
      </c>
      <c r="R136">
        <f>21283+((21372-21283)/10)*(Q136-2030)</f>
        <v>21291.9</v>
      </c>
      <c r="S136">
        <v>2131</v>
      </c>
      <c r="T136">
        <f>22120+((22394-22120)/10)*(S136-2130)</f>
        <v>22147.4</v>
      </c>
      <c r="U136">
        <v>2231</v>
      </c>
      <c r="V136">
        <f>22821+((22882-22821)/10)*(U136-2230)</f>
        <v>22827.1</v>
      </c>
      <c r="W136">
        <v>2331</v>
      </c>
      <c r="X136">
        <f>23332+((23368-23332)/10)*(W136-2330)</f>
        <v>23335.599999999999</v>
      </c>
    </row>
    <row r="137" spans="1:24" x14ac:dyDescent="0.3">
      <c r="A137">
        <v>1232</v>
      </c>
      <c r="B137">
        <f t="shared" ref="B137:B144" si="156">12200+((12326-12200)/10)*(A137-1230)</f>
        <v>12225.2</v>
      </c>
      <c r="C137">
        <v>1332</v>
      </c>
      <c r="D137">
        <f>13449+((13574-13449)/10)*(C137-1330)</f>
        <v>13474</v>
      </c>
      <c r="E137">
        <v>1432</v>
      </c>
      <c r="F137">
        <f t="shared" ref="F137:F144" si="157">14686+((14809-14686)/10)*(E137-1430)</f>
        <v>14710.6</v>
      </c>
      <c r="G137">
        <v>1532</v>
      </c>
      <c r="H137">
        <f>15902+((16022-15902)/10)*(G137-1530)</f>
        <v>15926</v>
      </c>
      <c r="I137">
        <v>1632</v>
      </c>
      <c r="J137">
        <f t="shared" ref="J137:J144" si="158">17086+((17203-17086)/10)*(I137-1630)</f>
        <v>17109.400000000001</v>
      </c>
      <c r="K137">
        <v>1732</v>
      </c>
      <c r="L137">
        <f t="shared" ref="L137:L144" si="159">18229+((18341-18229)/10)*(K137-1730)</f>
        <v>18251.400000000001</v>
      </c>
      <c r="M137">
        <v>1832</v>
      </c>
      <c r="N137">
        <f t="shared" ref="N137:N144" si="160">19319+((19425-19319)/10)*(M137-1830)</f>
        <v>19340.2</v>
      </c>
      <c r="O137">
        <v>1932</v>
      </c>
      <c r="P137">
        <f t="shared" ref="P137:P143" si="161">20343+((20441-20343)/10)*(O137-1920)</f>
        <v>20460.599999999999</v>
      </c>
      <c r="Q137">
        <v>2032</v>
      </c>
      <c r="R137">
        <f t="shared" ref="R137:R144" si="162">21283+((21372-21283)/10)*(Q137-2030)</f>
        <v>21300.799999999999</v>
      </c>
      <c r="S137">
        <v>2132</v>
      </c>
      <c r="T137">
        <f t="shared" ref="T137:T144" si="163">22120+((22394-22120)/10)*(S137-2130)</f>
        <v>22174.799999999999</v>
      </c>
      <c r="U137">
        <v>2232</v>
      </c>
      <c r="V137">
        <f>22821+((22882-22821)/10)*(U137-2230)</f>
        <v>22833.200000000001</v>
      </c>
      <c r="W137">
        <v>2332</v>
      </c>
      <c r="X137">
        <f t="shared" ref="X137:X144" si="164">23332+((23368-23332)/10)*(W137-2330)</f>
        <v>23339.200000000001</v>
      </c>
    </row>
    <row r="138" spans="1:24" x14ac:dyDescent="0.3">
      <c r="A138">
        <v>1233</v>
      </c>
      <c r="B138">
        <f>12200+((12326-12200)/10)*(A138-1230)</f>
        <v>12237.8</v>
      </c>
      <c r="C138">
        <v>1333</v>
      </c>
      <c r="D138">
        <f t="shared" ref="D138:D144" si="165">13449+((13574-13449)/10)*(C138-1330)</f>
        <v>13486.5</v>
      </c>
      <c r="E138">
        <v>1433</v>
      </c>
      <c r="F138">
        <f t="shared" si="157"/>
        <v>14722.9</v>
      </c>
      <c r="G138">
        <v>1533</v>
      </c>
      <c r="H138">
        <f>15902+((16022-15902)/10)*(G138-1530)</f>
        <v>15938</v>
      </c>
      <c r="I138">
        <v>1633</v>
      </c>
      <c r="J138">
        <f>17086+((17203-17086)/10)*(I138-1630)</f>
        <v>17121.099999999999</v>
      </c>
      <c r="K138">
        <v>1733</v>
      </c>
      <c r="L138">
        <f t="shared" si="159"/>
        <v>18262.599999999999</v>
      </c>
      <c r="M138">
        <v>1833</v>
      </c>
      <c r="N138">
        <f t="shared" si="160"/>
        <v>19350.8</v>
      </c>
      <c r="O138">
        <v>1933</v>
      </c>
      <c r="P138">
        <f t="shared" si="161"/>
        <v>20470.400000000001</v>
      </c>
      <c r="Q138">
        <v>2033</v>
      </c>
      <c r="R138">
        <f t="shared" si="162"/>
        <v>21309.7</v>
      </c>
      <c r="S138">
        <v>2133</v>
      </c>
      <c r="T138">
        <f t="shared" si="163"/>
        <v>22202.2</v>
      </c>
      <c r="U138">
        <v>2233</v>
      </c>
      <c r="V138">
        <f>20634+((20730-20634)/10)*(U138-1960)</f>
        <v>23254.799999999999</v>
      </c>
      <c r="W138">
        <v>2333</v>
      </c>
      <c r="X138">
        <f t="shared" si="164"/>
        <v>23342.799999999999</v>
      </c>
    </row>
    <row r="139" spans="1:24" x14ac:dyDescent="0.3">
      <c r="A139">
        <v>1234</v>
      </c>
      <c r="B139">
        <f t="shared" si="156"/>
        <v>12250.4</v>
      </c>
      <c r="C139">
        <v>1334</v>
      </c>
      <c r="D139">
        <f t="shared" si="165"/>
        <v>13499</v>
      </c>
      <c r="E139">
        <v>1434</v>
      </c>
      <c r="F139">
        <f t="shared" si="157"/>
        <v>14735.2</v>
      </c>
      <c r="G139">
        <v>1534</v>
      </c>
      <c r="H139">
        <f t="shared" ref="H139:H144" si="166">15902+((16022-15902)/10)*(G139-1530)</f>
        <v>15950</v>
      </c>
      <c r="I139">
        <v>1634</v>
      </c>
      <c r="J139">
        <f t="shared" si="158"/>
        <v>17132.8</v>
      </c>
      <c r="K139">
        <v>1734</v>
      </c>
      <c r="L139">
        <f t="shared" si="159"/>
        <v>18273.8</v>
      </c>
      <c r="M139">
        <v>1834</v>
      </c>
      <c r="N139">
        <f t="shared" si="160"/>
        <v>19361.400000000001</v>
      </c>
      <c r="O139">
        <v>1934</v>
      </c>
      <c r="P139">
        <f t="shared" si="161"/>
        <v>20480.2</v>
      </c>
      <c r="Q139">
        <v>2034</v>
      </c>
      <c r="R139">
        <f t="shared" si="162"/>
        <v>21318.6</v>
      </c>
      <c r="S139">
        <v>2134</v>
      </c>
      <c r="T139">
        <f t="shared" si="163"/>
        <v>22229.599999999999</v>
      </c>
      <c r="U139">
        <v>2234</v>
      </c>
      <c r="V139">
        <f t="shared" ref="V139:V144" si="167">22821+((22882-22821)/10)*(U139-2230)</f>
        <v>22845.4</v>
      </c>
      <c r="W139">
        <v>2334</v>
      </c>
      <c r="X139">
        <f t="shared" si="164"/>
        <v>23346.400000000001</v>
      </c>
    </row>
    <row r="140" spans="1:24" x14ac:dyDescent="0.3">
      <c r="A140">
        <v>1235</v>
      </c>
      <c r="B140">
        <f t="shared" si="156"/>
        <v>12263</v>
      </c>
      <c r="C140">
        <v>1335</v>
      </c>
      <c r="D140">
        <f t="shared" si="165"/>
        <v>13511.5</v>
      </c>
      <c r="E140">
        <v>1435</v>
      </c>
      <c r="F140">
        <f t="shared" si="157"/>
        <v>14747.5</v>
      </c>
      <c r="G140">
        <v>1535</v>
      </c>
      <c r="H140">
        <f>15902+((16022-15902)/10)*(G140-1530)</f>
        <v>15962</v>
      </c>
      <c r="I140">
        <v>1635</v>
      </c>
      <c r="J140">
        <f t="shared" si="158"/>
        <v>17144.5</v>
      </c>
      <c r="K140">
        <v>1735</v>
      </c>
      <c r="L140">
        <f t="shared" si="159"/>
        <v>18285</v>
      </c>
      <c r="M140">
        <v>1835</v>
      </c>
      <c r="N140">
        <f t="shared" si="160"/>
        <v>19372</v>
      </c>
      <c r="O140">
        <v>1935</v>
      </c>
      <c r="P140">
        <f t="shared" si="161"/>
        <v>20490</v>
      </c>
      <c r="Q140">
        <v>2035</v>
      </c>
      <c r="R140">
        <f t="shared" si="162"/>
        <v>21327.5</v>
      </c>
      <c r="S140">
        <v>2135</v>
      </c>
      <c r="T140">
        <f t="shared" si="163"/>
        <v>22257</v>
      </c>
      <c r="U140">
        <v>2235</v>
      </c>
      <c r="V140">
        <f t="shared" si="167"/>
        <v>22851.5</v>
      </c>
      <c r="W140">
        <v>2335</v>
      </c>
      <c r="X140">
        <f t="shared" si="164"/>
        <v>23350</v>
      </c>
    </row>
    <row r="141" spans="1:24" x14ac:dyDescent="0.3">
      <c r="A141">
        <v>1236</v>
      </c>
      <c r="B141">
        <f t="shared" si="156"/>
        <v>12275.6</v>
      </c>
      <c r="C141">
        <v>1336</v>
      </c>
      <c r="D141">
        <f t="shared" si="165"/>
        <v>13524</v>
      </c>
      <c r="E141">
        <v>1436</v>
      </c>
      <c r="F141">
        <f t="shared" si="157"/>
        <v>14759.8</v>
      </c>
      <c r="G141">
        <v>1536</v>
      </c>
      <c r="H141">
        <f t="shared" si="166"/>
        <v>15974</v>
      </c>
      <c r="I141">
        <v>1636</v>
      </c>
      <c r="J141">
        <f t="shared" si="158"/>
        <v>17156.2</v>
      </c>
      <c r="K141">
        <v>1736</v>
      </c>
      <c r="L141">
        <f t="shared" si="159"/>
        <v>18296.2</v>
      </c>
      <c r="M141">
        <v>1836</v>
      </c>
      <c r="N141">
        <f t="shared" si="160"/>
        <v>19382.599999999999</v>
      </c>
      <c r="O141">
        <v>1936</v>
      </c>
      <c r="P141">
        <f t="shared" si="161"/>
        <v>20499.8</v>
      </c>
      <c r="Q141">
        <v>2036</v>
      </c>
      <c r="R141">
        <f t="shared" si="162"/>
        <v>21336.400000000001</v>
      </c>
      <c r="S141">
        <v>2136</v>
      </c>
      <c r="T141">
        <f>22120+((22394-22120)/10)*(S141-2130)</f>
        <v>22284.400000000001</v>
      </c>
      <c r="U141">
        <v>2236</v>
      </c>
      <c r="V141">
        <f t="shared" si="167"/>
        <v>22857.599999999999</v>
      </c>
      <c r="W141">
        <v>2336</v>
      </c>
      <c r="X141">
        <f t="shared" si="164"/>
        <v>23353.599999999999</v>
      </c>
    </row>
    <row r="142" spans="1:24" x14ac:dyDescent="0.3">
      <c r="A142">
        <v>1237</v>
      </c>
      <c r="B142">
        <f t="shared" si="156"/>
        <v>12288.2</v>
      </c>
      <c r="C142">
        <v>1337</v>
      </c>
      <c r="D142">
        <f t="shared" si="165"/>
        <v>13536.5</v>
      </c>
      <c r="E142">
        <v>1437</v>
      </c>
      <c r="F142">
        <f t="shared" si="157"/>
        <v>14772.1</v>
      </c>
      <c r="G142">
        <v>1537</v>
      </c>
      <c r="H142">
        <f t="shared" si="166"/>
        <v>15986</v>
      </c>
      <c r="I142">
        <v>1637</v>
      </c>
      <c r="J142">
        <f t="shared" si="158"/>
        <v>17167.900000000001</v>
      </c>
      <c r="K142">
        <v>1737</v>
      </c>
      <c r="L142">
        <f t="shared" si="159"/>
        <v>18307.400000000001</v>
      </c>
      <c r="M142">
        <v>1837</v>
      </c>
      <c r="N142">
        <f t="shared" si="160"/>
        <v>19393.2</v>
      </c>
      <c r="O142">
        <v>1937</v>
      </c>
      <c r="P142">
        <f t="shared" si="161"/>
        <v>20509.599999999999</v>
      </c>
      <c r="Q142">
        <v>2037</v>
      </c>
      <c r="R142">
        <f t="shared" si="162"/>
        <v>21345.3</v>
      </c>
      <c r="S142">
        <v>2137</v>
      </c>
      <c r="T142">
        <f t="shared" si="163"/>
        <v>22311.8</v>
      </c>
      <c r="U142">
        <v>2237</v>
      </c>
      <c r="V142">
        <f t="shared" si="167"/>
        <v>22863.7</v>
      </c>
      <c r="W142">
        <v>2337</v>
      </c>
      <c r="X142">
        <f t="shared" si="164"/>
        <v>23357.200000000001</v>
      </c>
    </row>
    <row r="143" spans="1:24" x14ac:dyDescent="0.3">
      <c r="A143">
        <v>1238</v>
      </c>
      <c r="B143">
        <f t="shared" si="156"/>
        <v>12300.8</v>
      </c>
      <c r="C143">
        <v>1338</v>
      </c>
      <c r="D143">
        <f t="shared" si="165"/>
        <v>13549</v>
      </c>
      <c r="E143">
        <v>1438</v>
      </c>
      <c r="F143">
        <f t="shared" si="157"/>
        <v>14784.4</v>
      </c>
      <c r="G143">
        <v>1538</v>
      </c>
      <c r="H143">
        <f t="shared" si="166"/>
        <v>15998</v>
      </c>
      <c r="I143">
        <v>1638</v>
      </c>
      <c r="J143">
        <f t="shared" si="158"/>
        <v>17179.599999999999</v>
      </c>
      <c r="K143">
        <v>1738</v>
      </c>
      <c r="L143">
        <f t="shared" si="159"/>
        <v>18318.599999999999</v>
      </c>
      <c r="M143">
        <v>1838</v>
      </c>
      <c r="N143">
        <f>19319+((19425-19319)/10)*(M143-1830)</f>
        <v>19403.8</v>
      </c>
      <c r="O143">
        <v>1938</v>
      </c>
      <c r="P143">
        <f t="shared" si="161"/>
        <v>20519.400000000001</v>
      </c>
      <c r="Q143">
        <v>2038</v>
      </c>
      <c r="R143">
        <f t="shared" si="162"/>
        <v>21354.2</v>
      </c>
      <c r="S143">
        <v>2138</v>
      </c>
      <c r="T143">
        <f t="shared" si="163"/>
        <v>22339.200000000001</v>
      </c>
      <c r="U143">
        <v>2238</v>
      </c>
      <c r="V143">
        <f t="shared" si="167"/>
        <v>22869.8</v>
      </c>
      <c r="W143">
        <v>2338</v>
      </c>
      <c r="X143">
        <f t="shared" si="164"/>
        <v>23360.799999999999</v>
      </c>
    </row>
    <row r="144" spans="1:24" x14ac:dyDescent="0.3">
      <c r="A144">
        <v>1239</v>
      </c>
      <c r="B144">
        <f t="shared" si="156"/>
        <v>12313.4</v>
      </c>
      <c r="C144">
        <v>1339</v>
      </c>
      <c r="D144">
        <f t="shared" si="165"/>
        <v>13561.5</v>
      </c>
      <c r="E144">
        <v>1439</v>
      </c>
      <c r="F144">
        <f t="shared" si="157"/>
        <v>14796.7</v>
      </c>
      <c r="G144">
        <v>1539</v>
      </c>
      <c r="H144">
        <f t="shared" si="166"/>
        <v>16010</v>
      </c>
      <c r="I144">
        <v>1639</v>
      </c>
      <c r="J144">
        <f t="shared" si="158"/>
        <v>17191.3</v>
      </c>
      <c r="K144">
        <v>1739</v>
      </c>
      <c r="L144">
        <f t="shared" si="159"/>
        <v>18329.8</v>
      </c>
      <c r="M144">
        <v>1839</v>
      </c>
      <c r="N144">
        <f t="shared" si="160"/>
        <v>19414.400000000001</v>
      </c>
      <c r="O144">
        <v>1939</v>
      </c>
      <c r="P144">
        <f>20343+((20441-20343)/10)*(O144-1920)</f>
        <v>20529.2</v>
      </c>
      <c r="Q144">
        <v>2039</v>
      </c>
      <c r="R144">
        <f t="shared" si="162"/>
        <v>21363.1</v>
      </c>
      <c r="S144">
        <v>2139</v>
      </c>
      <c r="T144">
        <f t="shared" si="163"/>
        <v>22366.6</v>
      </c>
      <c r="U144">
        <v>2239</v>
      </c>
      <c r="V144">
        <f t="shared" si="167"/>
        <v>22875.9</v>
      </c>
      <c r="W144">
        <v>2339</v>
      </c>
      <c r="X144">
        <f t="shared" si="164"/>
        <v>23364.400000000001</v>
      </c>
    </row>
    <row r="145" spans="1:24" x14ac:dyDescent="0.3">
      <c r="A145">
        <v>1240</v>
      </c>
      <c r="B145">
        <v>12326</v>
      </c>
      <c r="C145">
        <v>1340</v>
      </c>
      <c r="D145">
        <v>13574</v>
      </c>
      <c r="E145">
        <v>1440</v>
      </c>
      <c r="F145">
        <v>14809</v>
      </c>
      <c r="G145">
        <v>1540</v>
      </c>
      <c r="H145">
        <v>16022</v>
      </c>
      <c r="I145">
        <v>1640</v>
      </c>
      <c r="J145">
        <v>17203</v>
      </c>
      <c r="K145">
        <v>1740</v>
      </c>
      <c r="L145">
        <v>18341</v>
      </c>
      <c r="M145">
        <v>1840</v>
      </c>
      <c r="N145">
        <v>19425</v>
      </c>
      <c r="O145">
        <v>1940</v>
      </c>
      <c r="P145">
        <v>20441</v>
      </c>
      <c r="Q145">
        <v>2040</v>
      </c>
      <c r="R145">
        <v>21372</v>
      </c>
      <c r="S145">
        <v>2140</v>
      </c>
      <c r="T145">
        <v>22394</v>
      </c>
      <c r="U145">
        <v>2240</v>
      </c>
      <c r="V145">
        <v>22882</v>
      </c>
      <c r="W145">
        <v>2340</v>
      </c>
      <c r="X145">
        <v>23368</v>
      </c>
    </row>
    <row r="146" spans="1:24" x14ac:dyDescent="0.3">
      <c r="A146">
        <v>1241</v>
      </c>
      <c r="B146">
        <f>12326+((12451-12326)/10)*(A146-1240)</f>
        <v>12338.5</v>
      </c>
      <c r="C146">
        <v>1341</v>
      </c>
      <c r="D146">
        <f>13574+((13696-13574)/10)*(C146-1340)</f>
        <v>13586.2</v>
      </c>
      <c r="E146">
        <v>1441</v>
      </c>
      <c r="F146">
        <f>14809+((14931-14809)/10)*(E146-1440)</f>
        <v>14821.2</v>
      </c>
      <c r="G146">
        <v>1541</v>
      </c>
      <c r="H146">
        <f>16022+((16141-16022)/10)*(G146-1540)</f>
        <v>16033.9</v>
      </c>
      <c r="I146">
        <v>1641</v>
      </c>
      <c r="J146">
        <f t="shared" ref="J146:J154" si="168">17203+((17318-17203)/10)*(I146-1640)</f>
        <v>17214.5</v>
      </c>
      <c r="K146">
        <v>1741</v>
      </c>
      <c r="L146">
        <f>12951+((13076-12951)/10)*(K146-1290)</f>
        <v>18588.5</v>
      </c>
      <c r="M146">
        <v>1841</v>
      </c>
      <c r="N146">
        <f>19425+((19530-19425)/10)*(M146-1840)</f>
        <v>19435.5</v>
      </c>
      <c r="O146">
        <v>1941</v>
      </c>
      <c r="P146">
        <f>20441+((20538-20441)/10)*(O146-1940)</f>
        <v>20450.7</v>
      </c>
      <c r="Q146">
        <v>2041</v>
      </c>
      <c r="R146">
        <f>21372+((21460-21372)/10)*(Q146-2040)</f>
        <v>21380.799999999999</v>
      </c>
      <c r="S146">
        <v>2141</v>
      </c>
      <c r="T146">
        <f>22394+((22276-22394)/10)*(S146-2140)</f>
        <v>22382.2</v>
      </c>
      <c r="U146">
        <v>2241</v>
      </c>
      <c r="V146">
        <f>22882+((22941-22882)/10)*(U146-2024)</f>
        <v>24162.3</v>
      </c>
      <c r="W146">
        <v>2341</v>
      </c>
    </row>
    <row r="147" spans="1:24" x14ac:dyDescent="0.3">
      <c r="A147">
        <v>1242</v>
      </c>
      <c r="B147">
        <f t="shared" ref="B147:B154" si="169">12326+((12451-12326)/10)*(A147-1240)</f>
        <v>12351</v>
      </c>
      <c r="C147">
        <v>1342</v>
      </c>
      <c r="D147">
        <f t="shared" ref="D147:D154" si="170">13574+((13696-13574)/10)*(C147-1340)</f>
        <v>13598.4</v>
      </c>
      <c r="E147">
        <v>1442</v>
      </c>
      <c r="F147">
        <f t="shared" ref="F147:F154" si="171">14809+((14931-14809)/10)*(E147-1440)</f>
        <v>14833.4</v>
      </c>
      <c r="G147">
        <v>1542</v>
      </c>
      <c r="H147">
        <f t="shared" ref="H147:H154" si="172">16022+((16141-16022)/10)*(G147-1540)</f>
        <v>16045.8</v>
      </c>
      <c r="I147">
        <v>1642</v>
      </c>
      <c r="J147">
        <f t="shared" si="168"/>
        <v>17226</v>
      </c>
      <c r="K147">
        <v>1742</v>
      </c>
      <c r="L147">
        <f t="shared" ref="L147:L154" si="173">18341+((18452-18341)/10)*(K147-1740)</f>
        <v>18363.2</v>
      </c>
      <c r="M147">
        <v>1842</v>
      </c>
      <c r="N147">
        <f t="shared" ref="N147:N154" si="174">19425+((19530-19425)/10)*(M147-1840)</f>
        <v>19446</v>
      </c>
      <c r="O147">
        <v>1942</v>
      </c>
      <c r="P147">
        <f t="shared" ref="P147:P154" si="175">20441+((20538-20441)/10)*(O147-1940)</f>
        <v>20460.400000000001</v>
      </c>
      <c r="Q147">
        <v>2042</v>
      </c>
      <c r="R147">
        <f t="shared" ref="R147:R154" si="176">21372+((21460-21372)/10)*(Q147-2040)</f>
        <v>21389.599999999999</v>
      </c>
      <c r="S147">
        <v>2142</v>
      </c>
      <c r="T147">
        <f t="shared" ref="T147:T154" si="177">22394+((22276-22394)/10)*(S147-2140)</f>
        <v>22370.400000000001</v>
      </c>
      <c r="U147">
        <v>2242</v>
      </c>
      <c r="V147">
        <f t="shared" ref="V147:V154" si="178">22882+((22941-22882)/10)*(U147-2024)</f>
        <v>24168.2</v>
      </c>
      <c r="W147">
        <v>2342</v>
      </c>
    </row>
    <row r="148" spans="1:24" x14ac:dyDescent="0.3">
      <c r="A148">
        <v>1243</v>
      </c>
      <c r="B148">
        <f t="shared" si="169"/>
        <v>12363.5</v>
      </c>
      <c r="C148">
        <v>1343</v>
      </c>
      <c r="D148">
        <f t="shared" si="170"/>
        <v>13610.6</v>
      </c>
      <c r="E148">
        <v>1443</v>
      </c>
      <c r="F148">
        <f t="shared" si="171"/>
        <v>14845.6</v>
      </c>
      <c r="G148">
        <v>1543</v>
      </c>
      <c r="H148">
        <f t="shared" si="172"/>
        <v>16057.7</v>
      </c>
      <c r="I148">
        <v>1643</v>
      </c>
      <c r="J148">
        <f t="shared" si="168"/>
        <v>17237.5</v>
      </c>
      <c r="K148">
        <v>1743</v>
      </c>
      <c r="L148">
        <f t="shared" si="173"/>
        <v>18374.3</v>
      </c>
      <c r="M148">
        <v>1843</v>
      </c>
      <c r="N148">
        <f t="shared" si="174"/>
        <v>19456.5</v>
      </c>
      <c r="O148">
        <v>1943</v>
      </c>
      <c r="P148">
        <f t="shared" si="175"/>
        <v>20470.099999999999</v>
      </c>
      <c r="Q148">
        <v>2043</v>
      </c>
      <c r="R148">
        <f t="shared" si="176"/>
        <v>21398.400000000001</v>
      </c>
      <c r="S148">
        <v>2143</v>
      </c>
      <c r="T148">
        <f t="shared" si="177"/>
        <v>22358.6</v>
      </c>
      <c r="U148">
        <v>2243</v>
      </c>
      <c r="V148">
        <f t="shared" si="178"/>
        <v>24174.1</v>
      </c>
      <c r="W148">
        <v>2343</v>
      </c>
    </row>
    <row r="149" spans="1:24" x14ac:dyDescent="0.3">
      <c r="A149">
        <v>1244</v>
      </c>
      <c r="B149">
        <f t="shared" si="169"/>
        <v>12376</v>
      </c>
      <c r="C149">
        <v>1344</v>
      </c>
      <c r="D149">
        <f t="shared" si="170"/>
        <v>13622.8</v>
      </c>
      <c r="E149">
        <v>1444</v>
      </c>
      <c r="F149">
        <f t="shared" si="171"/>
        <v>14857.8</v>
      </c>
      <c r="G149">
        <v>1544</v>
      </c>
      <c r="H149">
        <f t="shared" si="172"/>
        <v>16069.6</v>
      </c>
      <c r="I149">
        <v>1644</v>
      </c>
      <c r="J149">
        <f t="shared" si="168"/>
        <v>17249</v>
      </c>
      <c r="K149">
        <v>1744</v>
      </c>
      <c r="L149">
        <f t="shared" si="173"/>
        <v>18385.400000000001</v>
      </c>
      <c r="M149">
        <v>1844</v>
      </c>
      <c r="N149">
        <f t="shared" si="174"/>
        <v>19467</v>
      </c>
      <c r="O149">
        <v>1944</v>
      </c>
      <c r="P149">
        <f t="shared" si="175"/>
        <v>20479.8</v>
      </c>
      <c r="Q149">
        <v>2044</v>
      </c>
      <c r="R149">
        <f t="shared" si="176"/>
        <v>21407.200000000001</v>
      </c>
      <c r="S149">
        <v>2144</v>
      </c>
      <c r="T149">
        <f t="shared" si="177"/>
        <v>22346.799999999999</v>
      </c>
      <c r="U149">
        <v>2244</v>
      </c>
      <c r="V149">
        <f t="shared" si="178"/>
        <v>24180</v>
      </c>
      <c r="W149">
        <v>2344</v>
      </c>
    </row>
    <row r="150" spans="1:24" x14ac:dyDescent="0.3">
      <c r="A150">
        <v>1245</v>
      </c>
      <c r="B150">
        <f t="shared" si="169"/>
        <v>12388.5</v>
      </c>
      <c r="C150">
        <v>1345</v>
      </c>
      <c r="D150">
        <f t="shared" si="170"/>
        <v>13635</v>
      </c>
      <c r="E150">
        <v>1445</v>
      </c>
      <c r="F150">
        <f t="shared" si="171"/>
        <v>14870</v>
      </c>
      <c r="G150">
        <v>1545</v>
      </c>
      <c r="H150">
        <f t="shared" si="172"/>
        <v>16081.5</v>
      </c>
      <c r="I150">
        <v>1645</v>
      </c>
      <c r="J150">
        <f t="shared" si="168"/>
        <v>17260.5</v>
      </c>
      <c r="K150">
        <v>1745</v>
      </c>
      <c r="L150">
        <f t="shared" si="173"/>
        <v>18396.5</v>
      </c>
      <c r="M150">
        <v>1845</v>
      </c>
      <c r="N150">
        <f t="shared" si="174"/>
        <v>19477.5</v>
      </c>
      <c r="O150">
        <v>1945</v>
      </c>
      <c r="P150">
        <f t="shared" si="175"/>
        <v>20489.5</v>
      </c>
      <c r="Q150">
        <v>2045</v>
      </c>
      <c r="R150">
        <f t="shared" si="176"/>
        <v>21416</v>
      </c>
      <c r="S150">
        <v>2145</v>
      </c>
      <c r="T150">
        <f t="shared" si="177"/>
        <v>22335</v>
      </c>
      <c r="U150">
        <v>2245</v>
      </c>
      <c r="V150">
        <f t="shared" si="178"/>
        <v>24185.9</v>
      </c>
      <c r="W150">
        <v>2345</v>
      </c>
    </row>
    <row r="151" spans="1:24" x14ac:dyDescent="0.3">
      <c r="A151">
        <v>1246</v>
      </c>
      <c r="B151">
        <f t="shared" si="169"/>
        <v>12401</v>
      </c>
      <c r="C151">
        <v>1346</v>
      </c>
      <c r="D151">
        <f t="shared" si="170"/>
        <v>13647.2</v>
      </c>
      <c r="E151">
        <v>1446</v>
      </c>
      <c r="F151">
        <f t="shared" si="171"/>
        <v>14882.2</v>
      </c>
      <c r="G151">
        <v>1546</v>
      </c>
      <c r="H151">
        <f t="shared" si="172"/>
        <v>16093.4</v>
      </c>
      <c r="I151">
        <v>1646</v>
      </c>
      <c r="J151">
        <f t="shared" si="168"/>
        <v>17272</v>
      </c>
      <c r="K151">
        <v>1746</v>
      </c>
      <c r="L151">
        <f t="shared" si="173"/>
        <v>18407.599999999999</v>
      </c>
      <c r="M151">
        <v>1846</v>
      </c>
      <c r="N151">
        <f t="shared" si="174"/>
        <v>19488</v>
      </c>
      <c r="O151">
        <v>1946</v>
      </c>
      <c r="P151">
        <f t="shared" si="175"/>
        <v>20499.2</v>
      </c>
      <c r="Q151">
        <v>2046</v>
      </c>
      <c r="R151">
        <f t="shared" si="176"/>
        <v>21424.799999999999</v>
      </c>
      <c r="S151">
        <v>2146</v>
      </c>
      <c r="T151">
        <f t="shared" si="177"/>
        <v>22323.200000000001</v>
      </c>
      <c r="U151">
        <v>2246</v>
      </c>
      <c r="V151">
        <f t="shared" si="178"/>
        <v>24191.8</v>
      </c>
      <c r="W151">
        <v>2346</v>
      </c>
    </row>
    <row r="152" spans="1:24" x14ac:dyDescent="0.3">
      <c r="A152">
        <v>1247</v>
      </c>
      <c r="B152">
        <f t="shared" si="169"/>
        <v>12413.5</v>
      </c>
      <c r="C152">
        <v>1347</v>
      </c>
      <c r="D152">
        <f t="shared" si="170"/>
        <v>13659.4</v>
      </c>
      <c r="E152">
        <v>1447</v>
      </c>
      <c r="F152">
        <f t="shared" si="171"/>
        <v>14894.4</v>
      </c>
      <c r="G152">
        <v>1547</v>
      </c>
      <c r="H152">
        <f t="shared" si="172"/>
        <v>16105.3</v>
      </c>
      <c r="I152">
        <v>1647</v>
      </c>
      <c r="J152">
        <f t="shared" si="168"/>
        <v>17283.5</v>
      </c>
      <c r="K152">
        <v>1747</v>
      </c>
      <c r="L152">
        <f t="shared" si="173"/>
        <v>18418.7</v>
      </c>
      <c r="M152">
        <v>1847</v>
      </c>
      <c r="N152">
        <f t="shared" si="174"/>
        <v>19498.5</v>
      </c>
      <c r="O152">
        <v>1947</v>
      </c>
      <c r="P152">
        <f t="shared" si="175"/>
        <v>20508.900000000001</v>
      </c>
      <c r="Q152">
        <v>2047</v>
      </c>
      <c r="R152">
        <f t="shared" si="176"/>
        <v>21433.599999999999</v>
      </c>
      <c r="S152">
        <v>2147</v>
      </c>
      <c r="T152">
        <f t="shared" si="177"/>
        <v>22311.4</v>
      </c>
      <c r="U152">
        <v>2247</v>
      </c>
      <c r="V152">
        <f t="shared" si="178"/>
        <v>24197.7</v>
      </c>
      <c r="W152">
        <v>2347</v>
      </c>
    </row>
    <row r="153" spans="1:24" x14ac:dyDescent="0.3">
      <c r="A153">
        <v>1248</v>
      </c>
      <c r="B153">
        <f t="shared" si="169"/>
        <v>12426</v>
      </c>
      <c r="C153">
        <v>1348</v>
      </c>
      <c r="D153">
        <f t="shared" si="170"/>
        <v>13671.6</v>
      </c>
      <c r="E153">
        <v>1448</v>
      </c>
      <c r="F153">
        <f>14809+((14931-14809)/10)*(E153-1440)</f>
        <v>14906.6</v>
      </c>
      <c r="G153">
        <v>1548</v>
      </c>
      <c r="H153">
        <f t="shared" si="172"/>
        <v>16117.2</v>
      </c>
      <c r="I153">
        <v>1648</v>
      </c>
      <c r="J153">
        <f t="shared" si="168"/>
        <v>17295</v>
      </c>
      <c r="K153">
        <v>1748</v>
      </c>
      <c r="L153">
        <f t="shared" si="173"/>
        <v>18429.8</v>
      </c>
      <c r="M153">
        <v>1848</v>
      </c>
      <c r="N153">
        <f t="shared" si="174"/>
        <v>19509</v>
      </c>
      <c r="O153">
        <v>1948</v>
      </c>
      <c r="P153">
        <f t="shared" si="175"/>
        <v>20518.599999999999</v>
      </c>
      <c r="Q153">
        <v>2048</v>
      </c>
      <c r="R153">
        <f t="shared" si="176"/>
        <v>21442.400000000001</v>
      </c>
      <c r="S153">
        <v>2148</v>
      </c>
      <c r="T153">
        <f t="shared" si="177"/>
        <v>22299.599999999999</v>
      </c>
      <c r="U153">
        <v>2248</v>
      </c>
      <c r="V153">
        <f t="shared" si="178"/>
        <v>24203.599999999999</v>
      </c>
      <c r="W153">
        <v>2348</v>
      </c>
    </row>
    <row r="154" spans="1:24" x14ac:dyDescent="0.3">
      <c r="A154">
        <v>1249</v>
      </c>
      <c r="B154">
        <f t="shared" si="169"/>
        <v>12438.5</v>
      </c>
      <c r="C154">
        <v>1349</v>
      </c>
      <c r="D154">
        <f t="shared" si="170"/>
        <v>13683.8</v>
      </c>
      <c r="E154">
        <v>1449</v>
      </c>
      <c r="F154">
        <f t="shared" si="171"/>
        <v>14918.8</v>
      </c>
      <c r="G154">
        <v>1549</v>
      </c>
      <c r="H154">
        <f t="shared" si="172"/>
        <v>16129.1</v>
      </c>
      <c r="I154">
        <v>1649</v>
      </c>
      <c r="J154">
        <f t="shared" si="168"/>
        <v>17306.5</v>
      </c>
      <c r="K154">
        <v>1749</v>
      </c>
      <c r="L154">
        <f t="shared" si="173"/>
        <v>18440.900000000001</v>
      </c>
      <c r="M154">
        <v>1849</v>
      </c>
      <c r="N154">
        <f t="shared" si="174"/>
        <v>19519.5</v>
      </c>
      <c r="O154">
        <v>1949</v>
      </c>
      <c r="P154">
        <f t="shared" si="175"/>
        <v>20528.3</v>
      </c>
      <c r="Q154">
        <v>2049</v>
      </c>
      <c r="R154">
        <f t="shared" si="176"/>
        <v>21451.200000000001</v>
      </c>
      <c r="S154">
        <v>2149</v>
      </c>
      <c r="T154">
        <f t="shared" si="177"/>
        <v>22287.8</v>
      </c>
      <c r="U154">
        <v>2249</v>
      </c>
      <c r="V154">
        <f t="shared" si="178"/>
        <v>24209.5</v>
      </c>
      <c r="W154">
        <v>2349</v>
      </c>
    </row>
    <row r="155" spans="1:24" x14ac:dyDescent="0.3">
      <c r="A155">
        <v>1250</v>
      </c>
      <c r="B155">
        <v>12451</v>
      </c>
      <c r="C155">
        <v>1350</v>
      </c>
      <c r="D155">
        <v>13696</v>
      </c>
      <c r="E155">
        <v>1450</v>
      </c>
      <c r="F155">
        <v>14931</v>
      </c>
      <c r="G155">
        <v>1550</v>
      </c>
      <c r="H155">
        <v>16141</v>
      </c>
      <c r="I155">
        <v>1650</v>
      </c>
      <c r="J155">
        <v>17318</v>
      </c>
      <c r="K155">
        <v>1750</v>
      </c>
      <c r="L155">
        <v>18452</v>
      </c>
      <c r="M155">
        <v>1850</v>
      </c>
      <c r="N155">
        <v>19530</v>
      </c>
      <c r="O155">
        <v>1950</v>
      </c>
      <c r="P155">
        <v>20538</v>
      </c>
      <c r="Q155">
        <v>2050</v>
      </c>
      <c r="R155">
        <v>21460</v>
      </c>
      <c r="S155">
        <v>2150</v>
      </c>
      <c r="T155">
        <v>22276</v>
      </c>
      <c r="U155">
        <v>2250</v>
      </c>
      <c r="V155">
        <v>22941</v>
      </c>
      <c r="W155">
        <v>2350</v>
      </c>
      <c r="X155">
        <v>23401</v>
      </c>
    </row>
    <row r="156" spans="1:24" x14ac:dyDescent="0.3">
      <c r="A156">
        <v>1251</v>
      </c>
      <c r="B156">
        <f>12451+((12576-12451)/10)*(A156-1250)</f>
        <v>12463.5</v>
      </c>
      <c r="C156">
        <v>1351</v>
      </c>
      <c r="D156">
        <f>13696+((13822-13696)/10)*(C156-1350)</f>
        <v>13708.6</v>
      </c>
      <c r="E156">
        <v>1451</v>
      </c>
      <c r="F156">
        <f>14931+((15054-14931)/10)*(E156-1450)</f>
        <v>14943.3</v>
      </c>
      <c r="G156">
        <v>1551</v>
      </c>
      <c r="H156">
        <f>16141+((16261-16141)/10)*(G156-1550)</f>
        <v>16153</v>
      </c>
      <c r="I156">
        <v>1651</v>
      </c>
      <c r="J156">
        <f>17318+((17434-17318)/10)*(I156-1650)</f>
        <v>17329.599999999999</v>
      </c>
      <c r="K156">
        <v>1751</v>
      </c>
      <c r="L156">
        <v>18452</v>
      </c>
      <c r="M156">
        <v>1851</v>
      </c>
      <c r="N156">
        <f>19530+((19634-19530)/10)*(M156-1850)</f>
        <v>19540.400000000001</v>
      </c>
      <c r="O156">
        <v>1951</v>
      </c>
      <c r="P156">
        <f>20538+((20634-20538)/10)*(O156-1950)</f>
        <v>20547.599999999999</v>
      </c>
      <c r="Q156">
        <v>2051</v>
      </c>
      <c r="R156">
        <f>21460+((21546-21460)/10)*(Q156-2050)</f>
        <v>21468.6</v>
      </c>
      <c r="S156">
        <v>2151</v>
      </c>
      <c r="T156">
        <f>22276+((22436-22276)/10)*(S156-2150)</f>
        <v>22292</v>
      </c>
      <c r="U156">
        <v>2251</v>
      </c>
      <c r="V156">
        <f>22941+((22996-22941)/10)*(U156-2250)</f>
        <v>22946.5</v>
      </c>
      <c r="W156">
        <v>2351</v>
      </c>
    </row>
    <row r="157" spans="1:24" x14ac:dyDescent="0.3">
      <c r="A157">
        <v>1252</v>
      </c>
      <c r="B157">
        <f t="shared" ref="B157:B164" si="179">12451+((12576-12451)/10)*(A157-1250)</f>
        <v>12476</v>
      </c>
      <c r="C157">
        <v>1352</v>
      </c>
      <c r="D157">
        <f>13696+((13822-13696)/10)*(C157-1350)</f>
        <v>13721.2</v>
      </c>
      <c r="E157">
        <v>1452</v>
      </c>
      <c r="F157">
        <f t="shared" ref="F157:F164" si="180">14931+((15054-14931)/10)*(E157-1450)</f>
        <v>14955.6</v>
      </c>
      <c r="G157">
        <v>1552</v>
      </c>
      <c r="H157">
        <f t="shared" ref="H157:H164" si="181">16141+((16261-16141)/10)*(G157-1550)</f>
        <v>16165</v>
      </c>
      <c r="I157">
        <v>1652</v>
      </c>
      <c r="J157">
        <f>7621+((7741-7621)/10)*(I157-860)</f>
        <v>17125</v>
      </c>
      <c r="K157">
        <v>1752</v>
      </c>
      <c r="L157">
        <v>18452</v>
      </c>
      <c r="M157">
        <v>1852</v>
      </c>
      <c r="N157">
        <f t="shared" ref="N157:N164" si="182">19530+((19634-19530)/10)*(M157-1850)</f>
        <v>19550.8</v>
      </c>
      <c r="O157">
        <v>1952</v>
      </c>
      <c r="P157">
        <f t="shared" ref="P157:P164" si="183">20538+((20634-20538)/10)*(O157-1950)</f>
        <v>20557.2</v>
      </c>
      <c r="Q157">
        <v>2052</v>
      </c>
      <c r="R157">
        <f t="shared" ref="R157:R164" si="184">21460+((21546-21460)/10)*(Q157-2050)</f>
        <v>21477.200000000001</v>
      </c>
      <c r="S157">
        <v>2152</v>
      </c>
      <c r="T157">
        <f t="shared" ref="T157:T164" si="185">22276+((22436-22276)/10)*(S157-2150)</f>
        <v>22308</v>
      </c>
      <c r="U157">
        <v>2252</v>
      </c>
      <c r="V157">
        <f t="shared" ref="V157:V164" si="186">22941+((22996-22941)/10)*(U157-2250)</f>
        <v>22952</v>
      </c>
      <c r="W157">
        <v>2352</v>
      </c>
    </row>
    <row r="158" spans="1:24" x14ac:dyDescent="0.3">
      <c r="A158">
        <v>1253</v>
      </c>
      <c r="B158">
        <f t="shared" si="179"/>
        <v>12488.5</v>
      </c>
      <c r="C158">
        <v>1353</v>
      </c>
      <c r="D158">
        <f t="shared" ref="D158:D164" si="187">13696+((13822-13696)/10)*(C158-1350)</f>
        <v>13733.8</v>
      </c>
      <c r="E158">
        <v>1453</v>
      </c>
      <c r="F158">
        <f t="shared" si="180"/>
        <v>14967.9</v>
      </c>
      <c r="G158">
        <v>1553</v>
      </c>
      <c r="H158">
        <f t="shared" si="181"/>
        <v>16177</v>
      </c>
      <c r="I158">
        <v>1653</v>
      </c>
      <c r="J158">
        <f t="shared" ref="J158:J164" si="188">17318+((17434-17318)/10)*(I158-1650)</f>
        <v>17352.8</v>
      </c>
      <c r="K158">
        <v>1753</v>
      </c>
      <c r="L158">
        <f>18452+((18562-18452)/10)*(K158-1750)</f>
        <v>18485</v>
      </c>
      <c r="M158">
        <v>1853</v>
      </c>
      <c r="N158">
        <f t="shared" si="182"/>
        <v>19561.2</v>
      </c>
      <c r="O158">
        <v>1953</v>
      </c>
      <c r="P158">
        <f t="shared" si="183"/>
        <v>20566.8</v>
      </c>
      <c r="Q158">
        <v>2053</v>
      </c>
      <c r="R158">
        <f t="shared" si="184"/>
        <v>21485.8</v>
      </c>
      <c r="S158">
        <v>2153</v>
      </c>
      <c r="T158">
        <f t="shared" si="185"/>
        <v>22324</v>
      </c>
      <c r="U158">
        <v>2253</v>
      </c>
      <c r="V158">
        <f t="shared" si="186"/>
        <v>22957.5</v>
      </c>
      <c r="W158">
        <v>2353</v>
      </c>
    </row>
    <row r="159" spans="1:24" x14ac:dyDescent="0.3">
      <c r="A159">
        <v>1254</v>
      </c>
      <c r="B159">
        <f>12451+((12576-12451)/10)*(A159-1250)</f>
        <v>12501</v>
      </c>
      <c r="C159">
        <v>1354</v>
      </c>
      <c r="D159">
        <f t="shared" si="187"/>
        <v>13746.4</v>
      </c>
      <c r="E159">
        <v>1454</v>
      </c>
      <c r="F159">
        <f t="shared" si="180"/>
        <v>14980.2</v>
      </c>
      <c r="G159">
        <v>1554</v>
      </c>
      <c r="H159">
        <f t="shared" si="181"/>
        <v>16189</v>
      </c>
      <c r="I159">
        <v>1654</v>
      </c>
      <c r="J159">
        <f t="shared" si="188"/>
        <v>17364.400000000001</v>
      </c>
      <c r="K159">
        <v>1754</v>
      </c>
      <c r="L159">
        <f t="shared" ref="L159:L164" si="189">18452+((18562-18452)/10)*(K159-1750)</f>
        <v>18496</v>
      </c>
      <c r="M159">
        <v>1854</v>
      </c>
      <c r="N159">
        <f t="shared" si="182"/>
        <v>19571.599999999999</v>
      </c>
      <c r="O159">
        <v>1954</v>
      </c>
      <c r="P159">
        <f t="shared" si="183"/>
        <v>20576.400000000001</v>
      </c>
      <c r="Q159">
        <v>2054</v>
      </c>
      <c r="R159">
        <f t="shared" si="184"/>
        <v>21494.400000000001</v>
      </c>
      <c r="S159">
        <v>2154</v>
      </c>
      <c r="T159">
        <f t="shared" si="185"/>
        <v>22340</v>
      </c>
      <c r="U159">
        <v>2254</v>
      </c>
      <c r="V159">
        <f t="shared" si="186"/>
        <v>22963</v>
      </c>
      <c r="W159">
        <v>2354</v>
      </c>
    </row>
    <row r="160" spans="1:24" x14ac:dyDescent="0.3">
      <c r="A160">
        <v>1255</v>
      </c>
      <c r="B160">
        <f t="shared" si="179"/>
        <v>12513.5</v>
      </c>
      <c r="C160">
        <v>1355</v>
      </c>
      <c r="D160">
        <f t="shared" si="187"/>
        <v>13759</v>
      </c>
      <c r="E160">
        <v>1455</v>
      </c>
      <c r="F160">
        <f t="shared" si="180"/>
        <v>14992.5</v>
      </c>
      <c r="G160">
        <v>1555</v>
      </c>
      <c r="H160">
        <f t="shared" si="181"/>
        <v>16201</v>
      </c>
      <c r="I160">
        <v>1655</v>
      </c>
      <c r="J160">
        <f t="shared" si="188"/>
        <v>17376</v>
      </c>
      <c r="K160">
        <v>1755</v>
      </c>
      <c r="L160">
        <f t="shared" si="189"/>
        <v>18507</v>
      </c>
      <c r="M160">
        <v>1855</v>
      </c>
      <c r="N160">
        <f t="shared" si="182"/>
        <v>19582</v>
      </c>
      <c r="O160">
        <v>1955</v>
      </c>
      <c r="P160">
        <f t="shared" si="183"/>
        <v>20586</v>
      </c>
      <c r="Q160">
        <v>2055</v>
      </c>
      <c r="R160">
        <f t="shared" si="184"/>
        <v>21503</v>
      </c>
      <c r="S160">
        <v>2155</v>
      </c>
      <c r="T160">
        <f t="shared" si="185"/>
        <v>22356</v>
      </c>
      <c r="U160">
        <v>2255</v>
      </c>
      <c r="V160">
        <f t="shared" si="186"/>
        <v>22968.5</v>
      </c>
      <c r="W160">
        <v>2355</v>
      </c>
    </row>
    <row r="161" spans="1:24" x14ac:dyDescent="0.3">
      <c r="A161">
        <v>1256</v>
      </c>
      <c r="B161">
        <f t="shared" si="179"/>
        <v>12526</v>
      </c>
      <c r="C161">
        <v>1356</v>
      </c>
      <c r="D161">
        <f t="shared" si="187"/>
        <v>13771.6</v>
      </c>
      <c r="E161">
        <v>1456</v>
      </c>
      <c r="F161">
        <f t="shared" si="180"/>
        <v>15004.8</v>
      </c>
      <c r="G161">
        <v>1556</v>
      </c>
      <c r="H161">
        <f t="shared" si="181"/>
        <v>16213</v>
      </c>
      <c r="I161">
        <v>1656</v>
      </c>
      <c r="J161">
        <f t="shared" si="188"/>
        <v>17387.599999999999</v>
      </c>
      <c r="K161">
        <v>1756</v>
      </c>
      <c r="L161">
        <f t="shared" si="189"/>
        <v>18518</v>
      </c>
      <c r="M161">
        <v>1856</v>
      </c>
      <c r="N161">
        <f t="shared" si="182"/>
        <v>19592.400000000001</v>
      </c>
      <c r="O161">
        <v>1956</v>
      </c>
      <c r="P161">
        <f t="shared" si="183"/>
        <v>20595.599999999999</v>
      </c>
      <c r="Q161">
        <v>2056</v>
      </c>
      <c r="R161">
        <f t="shared" si="184"/>
        <v>21511.599999999999</v>
      </c>
      <c r="S161">
        <v>2156</v>
      </c>
      <c r="T161">
        <f t="shared" si="185"/>
        <v>22372</v>
      </c>
      <c r="U161">
        <v>2256</v>
      </c>
      <c r="V161">
        <f t="shared" si="186"/>
        <v>22974</v>
      </c>
      <c r="W161">
        <v>2356</v>
      </c>
    </row>
    <row r="162" spans="1:24" x14ac:dyDescent="0.3">
      <c r="A162">
        <v>1257</v>
      </c>
      <c r="B162">
        <f t="shared" si="179"/>
        <v>12538.5</v>
      </c>
      <c r="C162">
        <v>1357</v>
      </c>
      <c r="D162">
        <f t="shared" si="187"/>
        <v>13784.2</v>
      </c>
      <c r="E162">
        <v>1457</v>
      </c>
      <c r="F162">
        <f t="shared" si="180"/>
        <v>15017.1</v>
      </c>
      <c r="G162">
        <v>1557</v>
      </c>
      <c r="H162">
        <f t="shared" si="181"/>
        <v>16225</v>
      </c>
      <c r="I162">
        <v>1657</v>
      </c>
      <c r="J162">
        <f t="shared" si="188"/>
        <v>17399.2</v>
      </c>
      <c r="K162">
        <v>1757</v>
      </c>
      <c r="L162">
        <f t="shared" si="189"/>
        <v>18529</v>
      </c>
      <c r="M162">
        <v>1857</v>
      </c>
      <c r="N162">
        <f t="shared" si="182"/>
        <v>19602.8</v>
      </c>
      <c r="O162">
        <v>1957</v>
      </c>
      <c r="P162">
        <f t="shared" si="183"/>
        <v>20605.2</v>
      </c>
      <c r="Q162">
        <v>2057</v>
      </c>
      <c r="R162">
        <f t="shared" si="184"/>
        <v>21520.2</v>
      </c>
      <c r="S162">
        <v>2157</v>
      </c>
      <c r="T162">
        <f t="shared" si="185"/>
        <v>22388</v>
      </c>
      <c r="U162">
        <v>2257</v>
      </c>
      <c r="V162">
        <f t="shared" si="186"/>
        <v>22979.5</v>
      </c>
      <c r="W162">
        <v>2357</v>
      </c>
    </row>
    <row r="163" spans="1:24" x14ac:dyDescent="0.3">
      <c r="A163">
        <v>1258</v>
      </c>
      <c r="B163">
        <f t="shared" si="179"/>
        <v>12551</v>
      </c>
      <c r="C163">
        <v>1358</v>
      </c>
      <c r="D163">
        <f t="shared" si="187"/>
        <v>13796.8</v>
      </c>
      <c r="E163">
        <v>1458</v>
      </c>
      <c r="F163">
        <f t="shared" si="180"/>
        <v>15029.4</v>
      </c>
      <c r="G163">
        <v>1558</v>
      </c>
      <c r="H163">
        <f t="shared" si="181"/>
        <v>16237</v>
      </c>
      <c r="I163">
        <v>1658</v>
      </c>
      <c r="J163">
        <f t="shared" si="188"/>
        <v>17410.8</v>
      </c>
      <c r="K163">
        <v>1758</v>
      </c>
      <c r="L163">
        <f t="shared" si="189"/>
        <v>18540</v>
      </c>
      <c r="M163">
        <v>1858</v>
      </c>
      <c r="N163">
        <f t="shared" si="182"/>
        <v>19613.2</v>
      </c>
      <c r="O163">
        <v>1958</v>
      </c>
      <c r="P163">
        <f t="shared" si="183"/>
        <v>20614.8</v>
      </c>
      <c r="Q163">
        <v>2058</v>
      </c>
      <c r="R163">
        <f t="shared" si="184"/>
        <v>21528.799999999999</v>
      </c>
      <c r="S163">
        <v>2158</v>
      </c>
      <c r="T163">
        <f t="shared" si="185"/>
        <v>22404</v>
      </c>
      <c r="U163">
        <v>2258</v>
      </c>
      <c r="V163">
        <f t="shared" si="186"/>
        <v>22985</v>
      </c>
      <c r="W163">
        <v>2358</v>
      </c>
    </row>
    <row r="164" spans="1:24" x14ac:dyDescent="0.3">
      <c r="A164">
        <v>1259</v>
      </c>
      <c r="B164">
        <f t="shared" si="179"/>
        <v>12563.5</v>
      </c>
      <c r="C164">
        <v>1359</v>
      </c>
      <c r="D164">
        <f t="shared" si="187"/>
        <v>13809.4</v>
      </c>
      <c r="E164">
        <v>1459</v>
      </c>
      <c r="F164">
        <f t="shared" si="180"/>
        <v>15041.7</v>
      </c>
      <c r="G164">
        <v>1559</v>
      </c>
      <c r="H164">
        <f t="shared" si="181"/>
        <v>16249</v>
      </c>
      <c r="I164">
        <v>1659</v>
      </c>
      <c r="J164">
        <f t="shared" si="188"/>
        <v>17422.400000000001</v>
      </c>
      <c r="K164">
        <v>1759</v>
      </c>
      <c r="L164">
        <f t="shared" si="189"/>
        <v>18551</v>
      </c>
      <c r="M164">
        <v>1859</v>
      </c>
      <c r="N164">
        <f t="shared" si="182"/>
        <v>19623.599999999999</v>
      </c>
      <c r="O164">
        <v>1959</v>
      </c>
      <c r="P164">
        <f t="shared" si="183"/>
        <v>20624.400000000001</v>
      </c>
      <c r="Q164">
        <v>2059</v>
      </c>
      <c r="R164">
        <f t="shared" si="184"/>
        <v>21537.4</v>
      </c>
      <c r="S164">
        <v>2159</v>
      </c>
      <c r="T164">
        <f t="shared" si="185"/>
        <v>22420</v>
      </c>
      <c r="U164">
        <v>2259</v>
      </c>
      <c r="V164">
        <f t="shared" si="186"/>
        <v>22990.5</v>
      </c>
      <c r="W164">
        <v>2359</v>
      </c>
    </row>
    <row r="165" spans="1:24" x14ac:dyDescent="0.3">
      <c r="A165">
        <v>1260</v>
      </c>
      <c r="B165">
        <v>12576</v>
      </c>
      <c r="C165">
        <v>1360</v>
      </c>
      <c r="D165">
        <v>13822</v>
      </c>
      <c r="E165">
        <v>1460</v>
      </c>
      <c r="F165">
        <v>15054</v>
      </c>
      <c r="G165">
        <v>1560</v>
      </c>
      <c r="H165">
        <v>16261</v>
      </c>
      <c r="I165">
        <v>1660</v>
      </c>
      <c r="J165">
        <v>17434</v>
      </c>
      <c r="K165">
        <v>1760</v>
      </c>
      <c r="L165">
        <v>18562</v>
      </c>
      <c r="M165">
        <v>1860</v>
      </c>
      <c r="N165">
        <v>19634</v>
      </c>
      <c r="O165">
        <v>1960</v>
      </c>
      <c r="P165">
        <v>20634</v>
      </c>
      <c r="Q165">
        <v>2060</v>
      </c>
      <c r="R165">
        <v>21546</v>
      </c>
      <c r="S165">
        <v>2160</v>
      </c>
      <c r="T165">
        <v>22436</v>
      </c>
      <c r="U165">
        <v>2260</v>
      </c>
      <c r="V165">
        <v>22996</v>
      </c>
      <c r="W165">
        <v>2360</v>
      </c>
      <c r="X165">
        <v>23429</v>
      </c>
    </row>
    <row r="166" spans="1:24" x14ac:dyDescent="0.3">
      <c r="A166">
        <v>1261</v>
      </c>
      <c r="B166">
        <f>12576+((12701-12576)/10)*(A166-1260)</f>
        <v>12588.5</v>
      </c>
      <c r="C166">
        <v>1361</v>
      </c>
      <c r="D166">
        <f>13822+((13846-13822)/10)*(C166-1360)</f>
        <v>13824.4</v>
      </c>
      <c r="E166">
        <v>1461</v>
      </c>
      <c r="F166">
        <f>15054+((15175-15054)/10)*(E166-1460)</f>
        <v>15066.1</v>
      </c>
      <c r="G166">
        <v>1561</v>
      </c>
      <c r="H166">
        <f>16261+((16380-16261)/10)*(G166-1560)</f>
        <v>16272.9</v>
      </c>
      <c r="I166">
        <v>1661</v>
      </c>
      <c r="J166">
        <f>17434+((17549-17434)/10)*(I166-1660)</f>
        <v>17445.5</v>
      </c>
      <c r="K166">
        <v>1761</v>
      </c>
      <c r="L166">
        <f>18562+((18672-18562)/10)*(K166-1760)</f>
        <v>18573</v>
      </c>
      <c r="M166">
        <v>1861</v>
      </c>
      <c r="N166">
        <f>19634+((19737-19634)/10)*(M166-1860)</f>
        <v>19644.3</v>
      </c>
      <c r="O166">
        <v>1961</v>
      </c>
      <c r="P166">
        <f>20634+((20730-20634)/10)*(O166-1960)</f>
        <v>20643.599999999999</v>
      </c>
      <c r="Q166">
        <v>2061</v>
      </c>
      <c r="R166">
        <f>21546+((21632-21546)/10)*(Q166-2060)</f>
        <v>21554.6</v>
      </c>
      <c r="S166">
        <v>2161</v>
      </c>
      <c r="T166">
        <f>22436+((23419-22436)/10)*(S166-2160)</f>
        <v>22534.3</v>
      </c>
      <c r="U166">
        <v>2261</v>
      </c>
      <c r="V166">
        <f>22996+((23053-22996)/10)*(U166-2260)</f>
        <v>23001.7</v>
      </c>
      <c r="W166">
        <v>2361</v>
      </c>
      <c r="X166">
        <f>23429+((23432-23429)/10)*(W166-2360)</f>
        <v>23429.3</v>
      </c>
    </row>
    <row r="167" spans="1:24" x14ac:dyDescent="0.3">
      <c r="A167">
        <v>1262</v>
      </c>
      <c r="B167">
        <f t="shared" ref="B167:B174" si="190">12576+((12701-12576)/10)*(A167-1260)</f>
        <v>12601</v>
      </c>
      <c r="C167">
        <v>1362</v>
      </c>
      <c r="D167">
        <f t="shared" ref="D167:D173" si="191">13822+((13846-13822)/10)*(C167-1360)</f>
        <v>13826.8</v>
      </c>
      <c r="E167">
        <v>1462</v>
      </c>
      <c r="F167">
        <f t="shared" ref="F167:F174" si="192">15054+((15175-15054)/10)*(E167-1460)</f>
        <v>15078.2</v>
      </c>
      <c r="G167">
        <v>1562</v>
      </c>
      <c r="H167">
        <f t="shared" ref="H167:H174" si="193">16261+((16380-16261)/10)*(G167-1560)</f>
        <v>16284.8</v>
      </c>
      <c r="I167">
        <v>1662</v>
      </c>
      <c r="J167">
        <f t="shared" ref="J167:J174" si="194">17434+((17549-17434)/10)*(I167-1660)</f>
        <v>17457</v>
      </c>
      <c r="K167">
        <v>1762</v>
      </c>
      <c r="L167">
        <f t="shared" ref="L167:L174" si="195">18562+((18672-18562)/10)*(K167-1760)</f>
        <v>18584</v>
      </c>
      <c r="M167">
        <v>1862</v>
      </c>
      <c r="N167">
        <f t="shared" ref="N167:N174" si="196">19634+((19737-19634)/10)*(M167-1860)</f>
        <v>19654.599999999999</v>
      </c>
      <c r="O167">
        <v>1962</v>
      </c>
      <c r="P167">
        <f t="shared" ref="P167:P175" si="197">20634+((20730-20634)/10)*(O167-1960)</f>
        <v>20653.2</v>
      </c>
      <c r="Q167">
        <v>2062</v>
      </c>
      <c r="R167">
        <f t="shared" ref="R167:R174" si="198">21546+((21632-21546)/10)*(Q167-2060)</f>
        <v>21563.200000000001</v>
      </c>
      <c r="S167">
        <v>2162</v>
      </c>
      <c r="T167">
        <f t="shared" ref="T167:T174" si="199">22436+((23419-22436)/10)*(S167-2160)</f>
        <v>22632.6</v>
      </c>
      <c r="U167">
        <v>2262</v>
      </c>
      <c r="V167">
        <f t="shared" ref="V167:V174" si="200">22996+((23053-22996)/10)*(U167-2260)</f>
        <v>23007.4</v>
      </c>
      <c r="W167">
        <v>2362</v>
      </c>
      <c r="X167">
        <f t="shared" ref="X167:X174" si="201">23429+((23432-23429)/10)*(W167-2360)</f>
        <v>23429.599999999999</v>
      </c>
    </row>
    <row r="168" spans="1:24" x14ac:dyDescent="0.3">
      <c r="A168">
        <v>1263</v>
      </c>
      <c r="B168">
        <f t="shared" si="190"/>
        <v>12613.5</v>
      </c>
      <c r="C168">
        <v>1363</v>
      </c>
      <c r="D168">
        <f t="shared" si="191"/>
        <v>13829.2</v>
      </c>
      <c r="E168">
        <v>1463</v>
      </c>
      <c r="F168">
        <f t="shared" si="192"/>
        <v>15090.3</v>
      </c>
      <c r="G168">
        <v>1563</v>
      </c>
      <c r="H168">
        <f t="shared" si="193"/>
        <v>16296.7</v>
      </c>
      <c r="I168">
        <v>1663</v>
      </c>
      <c r="J168">
        <f t="shared" si="194"/>
        <v>17468.5</v>
      </c>
      <c r="K168">
        <v>1763</v>
      </c>
      <c r="L168">
        <f t="shared" si="195"/>
        <v>18595</v>
      </c>
      <c r="M168">
        <v>1863</v>
      </c>
      <c r="N168">
        <f t="shared" si="196"/>
        <v>19664.900000000001</v>
      </c>
      <c r="O168">
        <v>1963</v>
      </c>
      <c r="P168">
        <f t="shared" si="197"/>
        <v>20662.8</v>
      </c>
      <c r="Q168">
        <v>2063</v>
      </c>
      <c r="R168">
        <f t="shared" si="198"/>
        <v>21571.8</v>
      </c>
      <c r="S168">
        <v>2163</v>
      </c>
      <c r="T168">
        <f t="shared" si="199"/>
        <v>22730.9</v>
      </c>
      <c r="U168">
        <v>2263</v>
      </c>
      <c r="V168">
        <f t="shared" si="200"/>
        <v>23013.1</v>
      </c>
      <c r="W168">
        <v>2363</v>
      </c>
      <c r="X168">
        <f t="shared" si="201"/>
        <v>23429.9</v>
      </c>
    </row>
    <row r="169" spans="1:24" x14ac:dyDescent="0.3">
      <c r="A169">
        <v>1264</v>
      </c>
      <c r="B169">
        <f t="shared" si="190"/>
        <v>12626</v>
      </c>
      <c r="C169">
        <v>1364</v>
      </c>
      <c r="D169">
        <f t="shared" si="191"/>
        <v>13831.6</v>
      </c>
      <c r="E169">
        <v>1464</v>
      </c>
      <c r="F169">
        <f t="shared" si="192"/>
        <v>15102.4</v>
      </c>
      <c r="G169">
        <v>1564</v>
      </c>
      <c r="H169">
        <f t="shared" si="193"/>
        <v>16308.6</v>
      </c>
      <c r="I169">
        <v>1664</v>
      </c>
      <c r="J169">
        <f t="shared" si="194"/>
        <v>17480</v>
      </c>
      <c r="K169">
        <v>1764</v>
      </c>
      <c r="L169">
        <f t="shared" si="195"/>
        <v>18606</v>
      </c>
      <c r="M169">
        <v>1864</v>
      </c>
      <c r="N169">
        <f t="shared" si="196"/>
        <v>19675.2</v>
      </c>
      <c r="O169">
        <v>1964</v>
      </c>
      <c r="P169">
        <f t="shared" si="197"/>
        <v>20672.400000000001</v>
      </c>
      <c r="Q169">
        <v>2064</v>
      </c>
      <c r="R169">
        <f t="shared" si="198"/>
        <v>21580.400000000001</v>
      </c>
      <c r="S169">
        <v>2164</v>
      </c>
      <c r="T169">
        <f t="shared" si="199"/>
        <v>22829.200000000001</v>
      </c>
      <c r="U169">
        <v>2264</v>
      </c>
      <c r="V169">
        <f t="shared" si="200"/>
        <v>23018.799999999999</v>
      </c>
      <c r="W169">
        <v>2364</v>
      </c>
      <c r="X169">
        <f t="shared" si="201"/>
        <v>23430.2</v>
      </c>
    </row>
    <row r="170" spans="1:24" x14ac:dyDescent="0.3">
      <c r="A170">
        <v>1265</v>
      </c>
      <c r="B170">
        <f t="shared" si="190"/>
        <v>12638.5</v>
      </c>
      <c r="C170">
        <v>1365</v>
      </c>
      <c r="D170">
        <f t="shared" si="191"/>
        <v>13834</v>
      </c>
      <c r="E170">
        <v>1465</v>
      </c>
      <c r="F170">
        <f t="shared" si="192"/>
        <v>15114.5</v>
      </c>
      <c r="G170">
        <v>1565</v>
      </c>
      <c r="H170">
        <f t="shared" si="193"/>
        <v>16320.5</v>
      </c>
      <c r="I170">
        <v>1665</v>
      </c>
      <c r="J170">
        <f t="shared" si="194"/>
        <v>17491.5</v>
      </c>
      <c r="K170">
        <v>1765</v>
      </c>
      <c r="L170">
        <f>18562+((18672-18562)/10)*(K170-1760)</f>
        <v>18617</v>
      </c>
      <c r="M170">
        <v>1865</v>
      </c>
      <c r="N170">
        <f t="shared" si="196"/>
        <v>19685.5</v>
      </c>
      <c r="O170">
        <v>1965</v>
      </c>
      <c r="P170">
        <f t="shared" si="197"/>
        <v>20682</v>
      </c>
      <c r="Q170">
        <v>2065</v>
      </c>
      <c r="R170">
        <f t="shared" si="198"/>
        <v>21589</v>
      </c>
      <c r="S170">
        <v>2165</v>
      </c>
      <c r="T170">
        <f t="shared" si="199"/>
        <v>22927.5</v>
      </c>
      <c r="U170">
        <v>2265</v>
      </c>
      <c r="V170">
        <f t="shared" si="200"/>
        <v>23024.5</v>
      </c>
      <c r="W170">
        <v>2365</v>
      </c>
      <c r="X170">
        <f t="shared" si="201"/>
        <v>23430.5</v>
      </c>
    </row>
    <row r="171" spans="1:24" x14ac:dyDescent="0.3">
      <c r="A171">
        <v>1266</v>
      </c>
      <c r="B171">
        <f t="shared" si="190"/>
        <v>12651</v>
      </c>
      <c r="C171">
        <v>1366</v>
      </c>
      <c r="D171">
        <f t="shared" si="191"/>
        <v>13836.4</v>
      </c>
      <c r="E171">
        <v>1466</v>
      </c>
      <c r="F171">
        <f t="shared" si="192"/>
        <v>15126.6</v>
      </c>
      <c r="G171">
        <v>1566</v>
      </c>
      <c r="H171">
        <f t="shared" si="193"/>
        <v>16332.4</v>
      </c>
      <c r="I171">
        <v>1666</v>
      </c>
      <c r="J171">
        <f t="shared" si="194"/>
        <v>17503</v>
      </c>
      <c r="K171">
        <v>1766</v>
      </c>
      <c r="L171">
        <f t="shared" si="195"/>
        <v>18628</v>
      </c>
      <c r="M171">
        <v>1866</v>
      </c>
      <c r="N171">
        <f t="shared" si="196"/>
        <v>19695.8</v>
      </c>
      <c r="O171">
        <v>1966</v>
      </c>
      <c r="P171">
        <f t="shared" si="197"/>
        <v>20691.599999999999</v>
      </c>
      <c r="Q171">
        <v>2066</v>
      </c>
      <c r="R171">
        <f t="shared" si="198"/>
        <v>21597.599999999999</v>
      </c>
      <c r="S171">
        <v>2166</v>
      </c>
      <c r="T171">
        <f t="shared" si="199"/>
        <v>23025.8</v>
      </c>
      <c r="U171">
        <v>2266</v>
      </c>
      <c r="V171">
        <f t="shared" si="200"/>
        <v>23030.2</v>
      </c>
      <c r="W171">
        <v>2366</v>
      </c>
      <c r="X171">
        <f t="shared" si="201"/>
        <v>23430.799999999999</v>
      </c>
    </row>
    <row r="172" spans="1:24" x14ac:dyDescent="0.3">
      <c r="A172">
        <v>1267</v>
      </c>
      <c r="B172">
        <f t="shared" si="190"/>
        <v>12663.5</v>
      </c>
      <c r="C172">
        <v>1367</v>
      </c>
      <c r="D172">
        <f t="shared" si="191"/>
        <v>13838.8</v>
      </c>
      <c r="E172">
        <v>1467</v>
      </c>
      <c r="F172">
        <f t="shared" si="192"/>
        <v>15138.7</v>
      </c>
      <c r="G172">
        <v>1567</v>
      </c>
      <c r="H172">
        <f t="shared" si="193"/>
        <v>16344.3</v>
      </c>
      <c r="I172">
        <v>1667</v>
      </c>
      <c r="J172">
        <f t="shared" si="194"/>
        <v>17514.5</v>
      </c>
      <c r="K172">
        <v>1767</v>
      </c>
      <c r="L172">
        <f t="shared" si="195"/>
        <v>18639</v>
      </c>
      <c r="M172">
        <v>1867</v>
      </c>
      <c r="N172">
        <f t="shared" si="196"/>
        <v>19706.099999999999</v>
      </c>
      <c r="O172">
        <v>1967</v>
      </c>
      <c r="P172">
        <f t="shared" si="197"/>
        <v>20701.2</v>
      </c>
      <c r="Q172">
        <v>2067</v>
      </c>
      <c r="R172">
        <f t="shared" si="198"/>
        <v>21606.2</v>
      </c>
      <c r="S172">
        <v>2167</v>
      </c>
      <c r="T172">
        <f t="shared" si="199"/>
        <v>23124.1</v>
      </c>
      <c r="U172">
        <v>2267</v>
      </c>
      <c r="V172">
        <f t="shared" si="200"/>
        <v>23035.9</v>
      </c>
      <c r="W172">
        <v>2367</v>
      </c>
      <c r="X172">
        <f t="shared" si="201"/>
        <v>23431.1</v>
      </c>
    </row>
    <row r="173" spans="1:24" x14ac:dyDescent="0.3">
      <c r="A173">
        <v>1268</v>
      </c>
      <c r="B173">
        <f t="shared" si="190"/>
        <v>12676</v>
      </c>
      <c r="C173">
        <v>1368</v>
      </c>
      <c r="D173">
        <f t="shared" si="191"/>
        <v>13841.2</v>
      </c>
      <c r="E173">
        <v>1468</v>
      </c>
      <c r="F173">
        <f t="shared" si="192"/>
        <v>15150.8</v>
      </c>
      <c r="G173">
        <v>1568</v>
      </c>
      <c r="H173">
        <f t="shared" si="193"/>
        <v>16356.2</v>
      </c>
      <c r="I173">
        <v>1668</v>
      </c>
      <c r="J173">
        <f t="shared" si="194"/>
        <v>17526</v>
      </c>
      <c r="K173">
        <v>1768</v>
      </c>
      <c r="L173">
        <f t="shared" si="195"/>
        <v>18650</v>
      </c>
      <c r="M173">
        <v>1868</v>
      </c>
      <c r="N173">
        <f t="shared" si="196"/>
        <v>19716.400000000001</v>
      </c>
      <c r="O173">
        <v>1968</v>
      </c>
      <c r="P173">
        <f t="shared" si="197"/>
        <v>20710.8</v>
      </c>
      <c r="Q173">
        <v>2068</v>
      </c>
      <c r="R173">
        <f t="shared" si="198"/>
        <v>21614.799999999999</v>
      </c>
      <c r="S173">
        <v>2168</v>
      </c>
      <c r="T173">
        <f t="shared" si="199"/>
        <v>23222.400000000001</v>
      </c>
      <c r="U173">
        <v>2268</v>
      </c>
      <c r="V173">
        <f t="shared" si="200"/>
        <v>23041.599999999999</v>
      </c>
      <c r="W173">
        <v>2368</v>
      </c>
      <c r="X173">
        <f t="shared" si="201"/>
        <v>23431.4</v>
      </c>
    </row>
    <row r="174" spans="1:24" x14ac:dyDescent="0.3">
      <c r="A174">
        <v>1269</v>
      </c>
      <c r="B174">
        <f t="shared" si="190"/>
        <v>12688.5</v>
      </c>
      <c r="C174">
        <v>1369</v>
      </c>
      <c r="D174">
        <f>13822+((13846-13822)/10)*(C174-1360)</f>
        <v>13843.6</v>
      </c>
      <c r="E174">
        <v>1469</v>
      </c>
      <c r="F174">
        <f t="shared" si="192"/>
        <v>15162.9</v>
      </c>
      <c r="G174">
        <v>1569</v>
      </c>
      <c r="H174">
        <f t="shared" si="193"/>
        <v>16368.1</v>
      </c>
      <c r="I174">
        <v>1669</v>
      </c>
      <c r="J174">
        <f t="shared" si="194"/>
        <v>17537.5</v>
      </c>
      <c r="K174">
        <v>1769</v>
      </c>
      <c r="L174">
        <f t="shared" si="195"/>
        <v>18661</v>
      </c>
      <c r="M174">
        <v>1869</v>
      </c>
      <c r="N174">
        <f t="shared" si="196"/>
        <v>19726.7</v>
      </c>
      <c r="O174">
        <v>1969</v>
      </c>
      <c r="P174">
        <f t="shared" si="197"/>
        <v>20720.400000000001</v>
      </c>
      <c r="Q174">
        <v>2069</v>
      </c>
      <c r="R174">
        <f t="shared" si="198"/>
        <v>21623.4</v>
      </c>
      <c r="S174">
        <v>2169</v>
      </c>
      <c r="T174">
        <f t="shared" si="199"/>
        <v>23320.7</v>
      </c>
      <c r="U174">
        <v>2269</v>
      </c>
      <c r="V174">
        <f t="shared" si="200"/>
        <v>23047.3</v>
      </c>
      <c r="W174">
        <v>2369</v>
      </c>
      <c r="X174">
        <f t="shared" si="201"/>
        <v>23431.7</v>
      </c>
    </row>
    <row r="175" spans="1:24" x14ac:dyDescent="0.3">
      <c r="A175">
        <v>1270</v>
      </c>
      <c r="B175">
        <v>12701</v>
      </c>
      <c r="C175">
        <v>1370</v>
      </c>
      <c r="D175">
        <v>13846</v>
      </c>
      <c r="E175">
        <v>1470</v>
      </c>
      <c r="F175">
        <v>15175</v>
      </c>
      <c r="G175">
        <v>1570</v>
      </c>
      <c r="H175">
        <v>16380</v>
      </c>
      <c r="I175">
        <v>1670</v>
      </c>
      <c r="J175">
        <v>17549</v>
      </c>
      <c r="K175">
        <v>1770</v>
      </c>
      <c r="L175">
        <v>18672</v>
      </c>
      <c r="M175">
        <v>1870</v>
      </c>
      <c r="N175">
        <v>19737</v>
      </c>
      <c r="O175">
        <v>1970</v>
      </c>
      <c r="P175">
        <f t="shared" si="197"/>
        <v>20730</v>
      </c>
      <c r="Q175">
        <v>2070</v>
      </c>
      <c r="R175">
        <v>21632</v>
      </c>
      <c r="S175">
        <v>2170</v>
      </c>
      <c r="T175">
        <v>22419</v>
      </c>
      <c r="U175">
        <v>2270</v>
      </c>
      <c r="V175">
        <v>23053</v>
      </c>
      <c r="W175">
        <v>2370</v>
      </c>
      <c r="X175">
        <v>23432</v>
      </c>
    </row>
    <row r="176" spans="1:24" x14ac:dyDescent="0.3">
      <c r="A176">
        <v>1271</v>
      </c>
      <c r="B176">
        <f>12701+((12826-12701)/10)*(A176-1270)</f>
        <v>12713.5</v>
      </c>
      <c r="C176">
        <v>1371</v>
      </c>
      <c r="D176">
        <f>13846+((14070-13846)/10)*(C176-1370)</f>
        <v>13868.4</v>
      </c>
      <c r="E176">
        <v>1471</v>
      </c>
      <c r="F176">
        <f>15175+((15297-15175)/10)*(E176-1470)</f>
        <v>15187.2</v>
      </c>
      <c r="G176">
        <v>1571</v>
      </c>
      <c r="H176">
        <f>16380+((16498-16380)/10)*(G176-1570)</f>
        <v>16391.8</v>
      </c>
      <c r="I176">
        <v>1671</v>
      </c>
      <c r="J176">
        <f>17549+((17664-17549)/10)*(I176-1670)</f>
        <v>17560.5</v>
      </c>
      <c r="K176">
        <v>1771</v>
      </c>
      <c r="L176">
        <f>18672+((18782-18672)/10)*(K176-1770)</f>
        <v>18683</v>
      </c>
      <c r="M176">
        <v>1871</v>
      </c>
      <c r="N176">
        <f>19737+((19840-19737)/10)*(M176-1870)</f>
        <v>19747.3</v>
      </c>
      <c r="O176">
        <v>1971</v>
      </c>
      <c r="P176">
        <f>20730+((20824-20730)/10)*(O176-1970)</f>
        <v>20739.400000000001</v>
      </c>
      <c r="Q176">
        <v>2071</v>
      </c>
      <c r="R176">
        <f>21632+((21716-21632)/10)*(Q176-2070)</f>
        <v>21640.400000000001</v>
      </c>
      <c r="S176">
        <v>2171</v>
      </c>
      <c r="T176">
        <f>22419+((22490-22419)/10)*(S176-2170)</f>
        <v>22426.1</v>
      </c>
      <c r="U176">
        <v>2271</v>
      </c>
      <c r="V176">
        <f>23053+((23106-23053)/10)*(U176-2270)</f>
        <v>23058.3</v>
      </c>
      <c r="W176">
        <v>2371</v>
      </c>
      <c r="X176">
        <f>23432+((23469-23432)/10)*(W176-2370)</f>
        <v>23435.7</v>
      </c>
    </row>
    <row r="177" spans="1:24" x14ac:dyDescent="0.3">
      <c r="A177">
        <v>1272</v>
      </c>
      <c r="B177">
        <f t="shared" ref="B177:B184" si="202">12701+((12826-12701)/10)*(A177-1270)</f>
        <v>12726</v>
      </c>
      <c r="C177">
        <v>1372</v>
      </c>
      <c r="D177">
        <f t="shared" ref="D177:D184" si="203">13846+((14070-13846)/10)*(C177-1370)</f>
        <v>13890.8</v>
      </c>
      <c r="E177">
        <v>1472</v>
      </c>
      <c r="F177">
        <f t="shared" ref="F177:F184" si="204">15175+((15297-15175)/10)*(E177-1470)</f>
        <v>15199.4</v>
      </c>
      <c r="G177">
        <v>1572</v>
      </c>
      <c r="H177">
        <f t="shared" ref="H177:H184" si="205">16380+((16498-16380)/10)*(G177-1570)</f>
        <v>16403.599999999999</v>
      </c>
      <c r="I177">
        <v>1672</v>
      </c>
      <c r="J177">
        <f t="shared" ref="J177:J184" si="206">17549+((17664-17549)/10)*(I177-1670)</f>
        <v>17572</v>
      </c>
      <c r="K177">
        <v>1772</v>
      </c>
      <c r="L177">
        <f t="shared" ref="L177:L205" si="207">18672+((18782-18672)/10)*(K177-1770)</f>
        <v>18694</v>
      </c>
      <c r="M177">
        <v>1872</v>
      </c>
      <c r="N177">
        <f t="shared" ref="N177:N184" si="208">19737+((19840-19737)/10)*(M177-1870)</f>
        <v>19757.599999999999</v>
      </c>
      <c r="O177">
        <v>1972</v>
      </c>
      <c r="P177">
        <f t="shared" ref="P177:P184" si="209">20730+((20824-20730)/10)*(O177-1970)</f>
        <v>20748.8</v>
      </c>
      <c r="Q177">
        <v>2072</v>
      </c>
      <c r="R177">
        <f t="shared" ref="R177:R184" si="210">21632+((21716-21632)/10)*(Q177-2070)</f>
        <v>21648.799999999999</v>
      </c>
      <c r="S177">
        <v>2172</v>
      </c>
      <c r="T177">
        <f t="shared" ref="T177:T184" si="211">22419+((22490-22419)/10)*(S177-2170)</f>
        <v>22433.200000000001</v>
      </c>
      <c r="U177">
        <v>2272</v>
      </c>
      <c r="V177">
        <f>23053+((23106-23053)/10)*(U177-2270)</f>
        <v>23063.599999999999</v>
      </c>
      <c r="W177">
        <v>2372</v>
      </c>
      <c r="X177">
        <f t="shared" ref="X177:X184" si="212">23432+((23469-23432)/10)*(W177-2370)</f>
        <v>23439.4</v>
      </c>
    </row>
    <row r="178" spans="1:24" x14ac:dyDescent="0.3">
      <c r="A178">
        <v>1273</v>
      </c>
      <c r="B178">
        <f t="shared" si="202"/>
        <v>12738.5</v>
      </c>
      <c r="C178">
        <v>1373</v>
      </c>
      <c r="D178">
        <f t="shared" si="203"/>
        <v>13913.2</v>
      </c>
      <c r="E178">
        <v>1473</v>
      </c>
      <c r="F178">
        <f t="shared" si="204"/>
        <v>15211.6</v>
      </c>
      <c r="G178">
        <v>1573</v>
      </c>
      <c r="H178">
        <f t="shared" si="205"/>
        <v>16415.400000000001</v>
      </c>
      <c r="I178">
        <v>1673</v>
      </c>
      <c r="J178">
        <f t="shared" si="206"/>
        <v>17583.5</v>
      </c>
      <c r="K178">
        <v>1773</v>
      </c>
      <c r="L178">
        <f t="shared" si="207"/>
        <v>18705</v>
      </c>
      <c r="M178">
        <v>1873</v>
      </c>
      <c r="N178">
        <f t="shared" si="208"/>
        <v>19767.900000000001</v>
      </c>
      <c r="O178">
        <v>1973</v>
      </c>
      <c r="P178">
        <f t="shared" si="209"/>
        <v>20758.2</v>
      </c>
      <c r="Q178">
        <v>2073</v>
      </c>
      <c r="R178">
        <f t="shared" si="210"/>
        <v>21657.200000000001</v>
      </c>
      <c r="S178">
        <v>2173</v>
      </c>
      <c r="T178">
        <f t="shared" si="211"/>
        <v>22440.3</v>
      </c>
      <c r="U178">
        <v>2273</v>
      </c>
      <c r="V178">
        <f t="shared" ref="V178:V184" si="213">23053+((23106-23053)/10)*(U178-2270)</f>
        <v>23068.9</v>
      </c>
      <c r="W178">
        <v>2373</v>
      </c>
      <c r="X178">
        <f t="shared" si="212"/>
        <v>23443.1</v>
      </c>
    </row>
    <row r="179" spans="1:24" x14ac:dyDescent="0.3">
      <c r="A179">
        <v>1274</v>
      </c>
      <c r="B179">
        <f t="shared" si="202"/>
        <v>12751</v>
      </c>
      <c r="C179">
        <v>1374</v>
      </c>
      <c r="D179" t="s">
        <v>38</v>
      </c>
      <c r="E179">
        <v>1474</v>
      </c>
      <c r="F179">
        <f>15175+((15297-15175)/10)*(E179-1470)</f>
        <v>15223.8</v>
      </c>
      <c r="G179">
        <v>1574</v>
      </c>
      <c r="H179">
        <f t="shared" si="205"/>
        <v>16427.2</v>
      </c>
      <c r="I179">
        <v>1674</v>
      </c>
      <c r="J179">
        <f t="shared" si="206"/>
        <v>17595</v>
      </c>
      <c r="K179">
        <v>1774</v>
      </c>
      <c r="L179">
        <f t="shared" si="207"/>
        <v>18716</v>
      </c>
      <c r="M179">
        <v>1874</v>
      </c>
      <c r="N179">
        <f t="shared" si="208"/>
        <v>19778.2</v>
      </c>
      <c r="O179">
        <v>1974</v>
      </c>
      <c r="P179">
        <f t="shared" si="209"/>
        <v>20767.599999999999</v>
      </c>
      <c r="Q179">
        <v>2074</v>
      </c>
      <c r="R179">
        <f t="shared" si="210"/>
        <v>21665.599999999999</v>
      </c>
      <c r="S179">
        <v>2174</v>
      </c>
      <c r="T179">
        <f t="shared" si="211"/>
        <v>22447.4</v>
      </c>
      <c r="U179">
        <v>2274</v>
      </c>
      <c r="V179">
        <f t="shared" si="213"/>
        <v>23074.2</v>
      </c>
      <c r="W179">
        <v>2374</v>
      </c>
      <c r="X179">
        <f t="shared" si="212"/>
        <v>23446.799999999999</v>
      </c>
    </row>
    <row r="180" spans="1:24" x14ac:dyDescent="0.3">
      <c r="A180">
        <v>1275</v>
      </c>
      <c r="B180">
        <f t="shared" si="202"/>
        <v>12763.5</v>
      </c>
      <c r="C180">
        <v>1375</v>
      </c>
      <c r="D180">
        <f t="shared" si="203"/>
        <v>13958</v>
      </c>
      <c r="E180">
        <v>1475</v>
      </c>
      <c r="F180">
        <f t="shared" si="204"/>
        <v>15236</v>
      </c>
      <c r="G180">
        <v>1575</v>
      </c>
      <c r="H180">
        <f t="shared" si="205"/>
        <v>16439</v>
      </c>
      <c r="I180">
        <v>1675</v>
      </c>
      <c r="J180">
        <f t="shared" si="206"/>
        <v>17606.5</v>
      </c>
      <c r="K180">
        <v>1775</v>
      </c>
      <c r="L180">
        <f t="shared" si="207"/>
        <v>18727</v>
      </c>
      <c r="M180">
        <v>1875</v>
      </c>
      <c r="N180">
        <f t="shared" si="208"/>
        <v>19788.5</v>
      </c>
      <c r="O180">
        <v>1975</v>
      </c>
      <c r="P180">
        <f t="shared" si="209"/>
        <v>20777</v>
      </c>
      <c r="Q180">
        <v>2075</v>
      </c>
      <c r="R180">
        <f t="shared" si="210"/>
        <v>21674</v>
      </c>
      <c r="S180">
        <v>2175</v>
      </c>
      <c r="T180">
        <f t="shared" si="211"/>
        <v>22454.5</v>
      </c>
      <c r="U180">
        <v>2275</v>
      </c>
      <c r="V180">
        <f t="shared" si="213"/>
        <v>23079.5</v>
      </c>
      <c r="W180">
        <v>2375</v>
      </c>
      <c r="X180">
        <f t="shared" si="212"/>
        <v>23450.5</v>
      </c>
    </row>
    <row r="181" spans="1:24" x14ac:dyDescent="0.3">
      <c r="A181">
        <v>1276</v>
      </c>
      <c r="B181">
        <f t="shared" si="202"/>
        <v>12776</v>
      </c>
      <c r="C181">
        <v>1376</v>
      </c>
      <c r="D181">
        <f t="shared" si="203"/>
        <v>13980.4</v>
      </c>
      <c r="E181">
        <v>1476</v>
      </c>
      <c r="F181">
        <f t="shared" si="204"/>
        <v>15248.2</v>
      </c>
      <c r="G181">
        <v>1576</v>
      </c>
      <c r="H181">
        <f t="shared" si="205"/>
        <v>16450.8</v>
      </c>
      <c r="I181">
        <v>1676</v>
      </c>
      <c r="J181">
        <f t="shared" si="206"/>
        <v>17618</v>
      </c>
      <c r="K181">
        <v>1776</v>
      </c>
      <c r="L181">
        <f t="shared" si="207"/>
        <v>18738</v>
      </c>
      <c r="M181">
        <v>1876</v>
      </c>
      <c r="N181">
        <f t="shared" si="208"/>
        <v>19798.8</v>
      </c>
      <c r="O181">
        <v>1976</v>
      </c>
      <c r="P181">
        <f t="shared" si="209"/>
        <v>20786.400000000001</v>
      </c>
      <c r="Q181">
        <v>2076</v>
      </c>
      <c r="R181">
        <f t="shared" si="210"/>
        <v>21682.400000000001</v>
      </c>
      <c r="S181">
        <v>2176</v>
      </c>
      <c r="T181">
        <f t="shared" si="211"/>
        <v>22461.599999999999</v>
      </c>
      <c r="U181">
        <v>2276</v>
      </c>
      <c r="V181">
        <f t="shared" si="213"/>
        <v>23084.799999999999</v>
      </c>
      <c r="W181">
        <v>2376</v>
      </c>
      <c r="X181">
        <f t="shared" si="212"/>
        <v>23454.2</v>
      </c>
    </row>
    <row r="182" spans="1:24" x14ac:dyDescent="0.3">
      <c r="A182">
        <v>1277</v>
      </c>
      <c r="B182">
        <f t="shared" si="202"/>
        <v>12788.5</v>
      </c>
      <c r="C182">
        <v>1377</v>
      </c>
      <c r="D182">
        <f t="shared" si="203"/>
        <v>14002.8</v>
      </c>
      <c r="E182">
        <v>1477</v>
      </c>
      <c r="F182">
        <f t="shared" si="204"/>
        <v>15260.4</v>
      </c>
      <c r="G182">
        <v>1577</v>
      </c>
      <c r="H182">
        <f t="shared" si="205"/>
        <v>16462.599999999999</v>
      </c>
      <c r="I182">
        <v>1677</v>
      </c>
      <c r="J182">
        <f t="shared" si="206"/>
        <v>17629.5</v>
      </c>
      <c r="K182">
        <v>1777</v>
      </c>
      <c r="L182">
        <f t="shared" si="207"/>
        <v>18749</v>
      </c>
      <c r="M182">
        <v>1877</v>
      </c>
      <c r="N182">
        <f t="shared" si="208"/>
        <v>19809.099999999999</v>
      </c>
      <c r="O182">
        <v>1977</v>
      </c>
      <c r="P182">
        <f t="shared" si="209"/>
        <v>20795.8</v>
      </c>
      <c r="Q182">
        <v>2077</v>
      </c>
      <c r="R182">
        <f t="shared" si="210"/>
        <v>21690.799999999999</v>
      </c>
      <c r="S182">
        <v>2177</v>
      </c>
      <c r="T182">
        <f t="shared" si="211"/>
        <v>22468.7</v>
      </c>
      <c r="U182">
        <v>2277</v>
      </c>
      <c r="V182">
        <f t="shared" si="213"/>
        <v>23090.1</v>
      </c>
      <c r="W182">
        <v>2377</v>
      </c>
      <c r="X182">
        <f t="shared" si="212"/>
        <v>23457.9</v>
      </c>
    </row>
    <row r="183" spans="1:24" x14ac:dyDescent="0.3">
      <c r="A183">
        <v>1278</v>
      </c>
      <c r="B183">
        <f t="shared" si="202"/>
        <v>12801</v>
      </c>
      <c r="C183">
        <v>1378</v>
      </c>
      <c r="D183">
        <f t="shared" si="203"/>
        <v>14025.2</v>
      </c>
      <c r="E183">
        <v>1478</v>
      </c>
      <c r="F183">
        <f t="shared" si="204"/>
        <v>15272.6</v>
      </c>
      <c r="G183">
        <v>1578</v>
      </c>
      <c r="H183">
        <f t="shared" si="205"/>
        <v>16474.400000000001</v>
      </c>
      <c r="I183">
        <v>1678</v>
      </c>
      <c r="J183">
        <f t="shared" si="206"/>
        <v>17641</v>
      </c>
      <c r="K183">
        <v>1778</v>
      </c>
      <c r="L183">
        <f t="shared" si="207"/>
        <v>18760</v>
      </c>
      <c r="M183">
        <v>1878</v>
      </c>
      <c r="N183">
        <f t="shared" si="208"/>
        <v>19819.400000000001</v>
      </c>
      <c r="O183">
        <v>1978</v>
      </c>
      <c r="P183">
        <f t="shared" si="209"/>
        <v>20805.2</v>
      </c>
      <c r="Q183">
        <v>2078</v>
      </c>
      <c r="R183">
        <f t="shared" si="210"/>
        <v>21699.200000000001</v>
      </c>
      <c r="S183">
        <v>2178</v>
      </c>
      <c r="T183">
        <f t="shared" si="211"/>
        <v>22475.8</v>
      </c>
      <c r="U183">
        <v>2278</v>
      </c>
      <c r="V183">
        <f t="shared" si="213"/>
        <v>23095.4</v>
      </c>
      <c r="W183">
        <v>2378</v>
      </c>
      <c r="X183">
        <f t="shared" si="212"/>
        <v>23461.599999999999</v>
      </c>
    </row>
    <row r="184" spans="1:24" x14ac:dyDescent="0.3">
      <c r="A184">
        <v>1279</v>
      </c>
      <c r="B184">
        <f t="shared" si="202"/>
        <v>12813.5</v>
      </c>
      <c r="C184">
        <v>1379</v>
      </c>
      <c r="D184">
        <f t="shared" si="203"/>
        <v>14047.6</v>
      </c>
      <c r="E184">
        <v>1479</v>
      </c>
      <c r="F184">
        <f t="shared" si="204"/>
        <v>15284.8</v>
      </c>
      <c r="G184">
        <v>1579</v>
      </c>
      <c r="H184">
        <f t="shared" si="205"/>
        <v>16486.2</v>
      </c>
      <c r="I184">
        <v>1679</v>
      </c>
      <c r="J184">
        <f t="shared" si="206"/>
        <v>17652.5</v>
      </c>
      <c r="K184">
        <v>1779</v>
      </c>
      <c r="L184">
        <f t="shared" si="207"/>
        <v>18771</v>
      </c>
      <c r="M184">
        <v>1879</v>
      </c>
      <c r="N184">
        <f t="shared" si="208"/>
        <v>19829.7</v>
      </c>
      <c r="O184">
        <v>1979</v>
      </c>
      <c r="P184">
        <f t="shared" si="209"/>
        <v>20814.599999999999</v>
      </c>
      <c r="Q184">
        <v>2079</v>
      </c>
      <c r="R184">
        <f t="shared" si="210"/>
        <v>21707.599999999999</v>
      </c>
      <c r="S184">
        <v>2179</v>
      </c>
      <c r="T184">
        <f t="shared" si="211"/>
        <v>22482.9</v>
      </c>
      <c r="U184">
        <v>2279</v>
      </c>
      <c r="V184">
        <f t="shared" si="213"/>
        <v>23100.7</v>
      </c>
      <c r="W184">
        <v>2379</v>
      </c>
      <c r="X184">
        <f t="shared" si="212"/>
        <v>23465.3</v>
      </c>
    </row>
    <row r="185" spans="1:24" x14ac:dyDescent="0.3">
      <c r="A185">
        <v>1280</v>
      </c>
      <c r="B185">
        <v>12826</v>
      </c>
      <c r="C185">
        <v>1380</v>
      </c>
      <c r="D185">
        <v>14070</v>
      </c>
      <c r="E185">
        <v>1480</v>
      </c>
      <c r="F185">
        <v>15297</v>
      </c>
      <c r="G185">
        <v>1580</v>
      </c>
      <c r="H185">
        <v>16498</v>
      </c>
      <c r="I185">
        <v>1680</v>
      </c>
      <c r="J185">
        <v>17664</v>
      </c>
      <c r="K185">
        <v>1780</v>
      </c>
      <c r="L185">
        <f t="shared" si="207"/>
        <v>18782</v>
      </c>
      <c r="M185">
        <v>1880</v>
      </c>
      <c r="N185">
        <v>19840</v>
      </c>
      <c r="O185">
        <v>1980</v>
      </c>
      <c r="P185">
        <v>20824</v>
      </c>
      <c r="Q185">
        <v>2080</v>
      </c>
      <c r="R185">
        <v>21716</v>
      </c>
      <c r="S185">
        <v>2180</v>
      </c>
      <c r="T185">
        <v>22490</v>
      </c>
      <c r="U185">
        <v>2280</v>
      </c>
      <c r="V185">
        <v>23106</v>
      </c>
      <c r="W185">
        <v>2380</v>
      </c>
      <c r="X185">
        <v>23469</v>
      </c>
    </row>
    <row r="186" spans="1:24" x14ac:dyDescent="0.3">
      <c r="A186">
        <v>1281</v>
      </c>
      <c r="B186">
        <f>12826+((12951-12826)/10)*(A186-1280)</f>
        <v>12838.5</v>
      </c>
      <c r="C186">
        <v>1381</v>
      </c>
      <c r="D186">
        <f>14070+((14194-14070)/10)*(C186-1380)</f>
        <v>14082.4</v>
      </c>
      <c r="E186">
        <v>1481</v>
      </c>
      <c r="F186">
        <f>15297+((15419-15297)/10)*(E186-1480)</f>
        <v>15309.2</v>
      </c>
      <c r="G186">
        <v>1581</v>
      </c>
      <c r="H186">
        <f>16498+((16617-16486)/10)*(G186-1580)</f>
        <v>16511.099999999999</v>
      </c>
      <c r="I186">
        <v>1681</v>
      </c>
      <c r="J186">
        <f>17664+((17778-17664)/10)*(I186-1680)</f>
        <v>17675.400000000001</v>
      </c>
      <c r="K186">
        <v>1781</v>
      </c>
      <c r="L186">
        <f t="shared" si="207"/>
        <v>18793</v>
      </c>
      <c r="M186">
        <v>1881</v>
      </c>
      <c r="N186">
        <f>19840+((19942-19840)/10)*(M186-1880)</f>
        <v>19850.2</v>
      </c>
      <c r="O186">
        <v>1981</v>
      </c>
      <c r="P186">
        <f>20824+((20918-20824)/10)*(O186-1980)</f>
        <v>20833.400000000001</v>
      </c>
      <c r="Q186">
        <v>2081</v>
      </c>
      <c r="R186">
        <f>21716+((21799-21716)/10)*(Q186-2080)</f>
        <v>21724.3</v>
      </c>
      <c r="S186">
        <v>2181</v>
      </c>
      <c r="T186">
        <f>22490+((22559-22490)/10)*(S186-2180)</f>
        <v>22496.9</v>
      </c>
      <c r="U186">
        <v>2281</v>
      </c>
      <c r="V186">
        <f>23106+((23156-23106)/10)*(U186-2280)</f>
        <v>23111</v>
      </c>
      <c r="W186">
        <v>2381</v>
      </c>
    </row>
    <row r="187" spans="1:24" x14ac:dyDescent="0.3">
      <c r="A187">
        <v>1282</v>
      </c>
      <c r="B187">
        <f t="shared" ref="B187:B194" si="214">12826+((12951-12826)/10)*(A187-1280)</f>
        <v>12851</v>
      </c>
      <c r="C187">
        <v>1382</v>
      </c>
      <c r="D187">
        <f t="shared" ref="D187:D194" si="215">14070+((14194-14070)/10)*(C187-1380)</f>
        <v>14094.8</v>
      </c>
      <c r="E187">
        <v>1482</v>
      </c>
      <c r="F187">
        <f t="shared" ref="F187:F194" si="216">15297+((15419-15297)/10)*(E187-1480)</f>
        <v>15321.4</v>
      </c>
      <c r="G187">
        <v>1582</v>
      </c>
      <c r="H187">
        <f t="shared" ref="H187:H194" si="217">16498+((16617-16486)/10)*(G187-1580)</f>
        <v>16524.2</v>
      </c>
      <c r="I187">
        <v>1682</v>
      </c>
      <c r="J187">
        <f>17664+((17778-17664)/10)*(I187-1680)</f>
        <v>17686.8</v>
      </c>
      <c r="K187">
        <v>1782</v>
      </c>
      <c r="L187">
        <f t="shared" si="207"/>
        <v>18804</v>
      </c>
      <c r="M187">
        <v>1882</v>
      </c>
      <c r="N187">
        <f t="shared" ref="N187:N194" si="218">19840+((19942-19840)/10)*(M187-1880)</f>
        <v>19860.400000000001</v>
      </c>
      <c r="O187">
        <v>1982</v>
      </c>
      <c r="P187">
        <f t="shared" ref="P187:P194" si="219">20824+((20918-20824)/10)*(O187-1980)</f>
        <v>20842.8</v>
      </c>
      <c r="Q187">
        <v>2082</v>
      </c>
      <c r="R187">
        <f t="shared" ref="R187:R194" si="220">21716+((21799-21716)/10)*(Q187-2080)</f>
        <v>21732.6</v>
      </c>
      <c r="S187">
        <v>2182</v>
      </c>
      <c r="T187">
        <f t="shared" ref="T187:T194" si="221">22490+((22559-22490)/10)*(S187-2180)</f>
        <v>22503.8</v>
      </c>
      <c r="U187">
        <v>2282</v>
      </c>
      <c r="V187">
        <f t="shared" ref="V187:V194" si="222">23106+((23156-23106)/10)*(U187-2280)</f>
        <v>23116</v>
      </c>
      <c r="W187">
        <v>2382</v>
      </c>
    </row>
    <row r="188" spans="1:24" x14ac:dyDescent="0.3">
      <c r="A188">
        <v>1283</v>
      </c>
      <c r="B188">
        <f t="shared" si="214"/>
        <v>12863.5</v>
      </c>
      <c r="C188">
        <v>1383</v>
      </c>
      <c r="D188">
        <f t="shared" si="215"/>
        <v>14107.2</v>
      </c>
      <c r="E188">
        <v>1483</v>
      </c>
      <c r="F188">
        <f t="shared" si="216"/>
        <v>15333.6</v>
      </c>
      <c r="G188">
        <v>1583</v>
      </c>
      <c r="H188">
        <f t="shared" si="217"/>
        <v>16537.3</v>
      </c>
      <c r="I188">
        <v>1683</v>
      </c>
      <c r="J188">
        <f t="shared" ref="J188:J194" si="223">17664+((17778-17664)/10)*(I188-1680)</f>
        <v>17698.2</v>
      </c>
      <c r="K188">
        <v>1783</v>
      </c>
      <c r="L188">
        <f t="shared" si="207"/>
        <v>18815</v>
      </c>
      <c r="M188">
        <v>1883</v>
      </c>
      <c r="N188">
        <f t="shared" si="218"/>
        <v>19870.599999999999</v>
      </c>
      <c r="O188">
        <v>1983</v>
      </c>
      <c r="P188">
        <f t="shared" si="219"/>
        <v>20852.2</v>
      </c>
      <c r="Q188">
        <v>2083</v>
      </c>
      <c r="R188">
        <f t="shared" si="220"/>
        <v>21740.9</v>
      </c>
      <c r="S188">
        <v>2183</v>
      </c>
      <c r="T188">
        <f t="shared" si="221"/>
        <v>22510.7</v>
      </c>
      <c r="U188">
        <v>2283</v>
      </c>
      <c r="V188">
        <f t="shared" si="222"/>
        <v>23121</v>
      </c>
      <c r="W188">
        <v>2383</v>
      </c>
    </row>
    <row r="189" spans="1:24" x14ac:dyDescent="0.3">
      <c r="A189">
        <v>1284</v>
      </c>
      <c r="B189">
        <f t="shared" si="214"/>
        <v>12876</v>
      </c>
      <c r="C189">
        <v>1384</v>
      </c>
      <c r="D189">
        <f t="shared" si="215"/>
        <v>14119.6</v>
      </c>
      <c r="E189">
        <v>1484</v>
      </c>
      <c r="F189">
        <f t="shared" si="216"/>
        <v>15345.8</v>
      </c>
      <c r="G189">
        <v>1584</v>
      </c>
      <c r="H189">
        <f t="shared" si="217"/>
        <v>16550.400000000001</v>
      </c>
      <c r="I189">
        <v>1684</v>
      </c>
      <c r="J189">
        <f t="shared" si="223"/>
        <v>17709.599999999999</v>
      </c>
      <c r="K189">
        <v>1784</v>
      </c>
      <c r="L189">
        <f t="shared" si="207"/>
        <v>18826</v>
      </c>
      <c r="M189">
        <v>1884</v>
      </c>
      <c r="N189">
        <f t="shared" si="218"/>
        <v>19880.8</v>
      </c>
      <c r="O189">
        <v>1984</v>
      </c>
      <c r="P189">
        <f t="shared" si="219"/>
        <v>20861.599999999999</v>
      </c>
      <c r="Q189">
        <v>2084</v>
      </c>
      <c r="R189">
        <f t="shared" si="220"/>
        <v>21749.200000000001</v>
      </c>
      <c r="S189">
        <v>2184</v>
      </c>
      <c r="T189">
        <f t="shared" si="221"/>
        <v>22517.599999999999</v>
      </c>
      <c r="U189">
        <v>2284</v>
      </c>
      <c r="V189">
        <f t="shared" si="222"/>
        <v>23126</v>
      </c>
      <c r="W189">
        <v>2384</v>
      </c>
    </row>
    <row r="190" spans="1:24" x14ac:dyDescent="0.3">
      <c r="A190">
        <v>1285</v>
      </c>
      <c r="B190">
        <f t="shared" si="214"/>
        <v>12888.5</v>
      </c>
      <c r="C190">
        <v>1385</v>
      </c>
      <c r="D190">
        <f t="shared" si="215"/>
        <v>14132</v>
      </c>
      <c r="E190">
        <v>1485</v>
      </c>
      <c r="F190">
        <f t="shared" si="216"/>
        <v>15358</v>
      </c>
      <c r="G190">
        <v>1585</v>
      </c>
      <c r="H190">
        <f t="shared" si="217"/>
        <v>16563.5</v>
      </c>
      <c r="I190">
        <v>1685</v>
      </c>
      <c r="J190">
        <f t="shared" si="223"/>
        <v>17721</v>
      </c>
      <c r="K190">
        <v>1785</v>
      </c>
      <c r="L190">
        <f t="shared" si="207"/>
        <v>18837</v>
      </c>
      <c r="M190">
        <v>1885</v>
      </c>
      <c r="N190">
        <f t="shared" si="218"/>
        <v>19891</v>
      </c>
      <c r="O190">
        <v>1985</v>
      </c>
      <c r="P190">
        <f t="shared" si="219"/>
        <v>20871</v>
      </c>
      <c r="Q190">
        <v>2085</v>
      </c>
      <c r="R190">
        <f t="shared" si="220"/>
        <v>21757.5</v>
      </c>
      <c r="S190">
        <v>2185</v>
      </c>
      <c r="T190">
        <f t="shared" si="221"/>
        <v>22524.5</v>
      </c>
      <c r="U190">
        <v>2285</v>
      </c>
      <c r="V190">
        <f t="shared" si="222"/>
        <v>23131</v>
      </c>
      <c r="W190">
        <v>2385</v>
      </c>
    </row>
    <row r="191" spans="1:24" x14ac:dyDescent="0.3">
      <c r="A191">
        <v>1286</v>
      </c>
      <c r="B191">
        <f t="shared" si="214"/>
        <v>12901</v>
      </c>
      <c r="C191">
        <v>1386</v>
      </c>
      <c r="D191">
        <f t="shared" si="215"/>
        <v>14144.4</v>
      </c>
      <c r="E191">
        <v>1486</v>
      </c>
      <c r="F191">
        <f t="shared" si="216"/>
        <v>15370.2</v>
      </c>
      <c r="G191">
        <v>1586</v>
      </c>
      <c r="H191">
        <f t="shared" si="217"/>
        <v>16576.599999999999</v>
      </c>
      <c r="I191">
        <v>1686</v>
      </c>
      <c r="J191">
        <f t="shared" si="223"/>
        <v>17732.400000000001</v>
      </c>
      <c r="K191">
        <v>1786</v>
      </c>
      <c r="L191">
        <f>18672+((18782-18672)/10)*(K191-1770)</f>
        <v>18848</v>
      </c>
      <c r="M191">
        <v>1886</v>
      </c>
      <c r="N191">
        <f t="shared" si="218"/>
        <v>19901.2</v>
      </c>
      <c r="O191">
        <v>1986</v>
      </c>
      <c r="P191">
        <f t="shared" si="219"/>
        <v>20880.400000000001</v>
      </c>
      <c r="Q191">
        <v>2086</v>
      </c>
      <c r="R191">
        <f t="shared" si="220"/>
        <v>21765.8</v>
      </c>
      <c r="S191">
        <v>2186</v>
      </c>
      <c r="T191">
        <f t="shared" si="221"/>
        <v>22531.4</v>
      </c>
      <c r="U191">
        <v>2286</v>
      </c>
      <c r="V191">
        <f t="shared" si="222"/>
        <v>23136</v>
      </c>
      <c r="W191">
        <v>2386</v>
      </c>
      <c r="X191">
        <v>23474</v>
      </c>
    </row>
    <row r="192" spans="1:24" x14ac:dyDescent="0.3">
      <c r="A192">
        <v>1287</v>
      </c>
      <c r="B192">
        <f>12826+((12951-12826)/10)*(A192-1280)</f>
        <v>12913.5</v>
      </c>
      <c r="C192">
        <v>1387</v>
      </c>
      <c r="D192">
        <f t="shared" si="215"/>
        <v>14156.8</v>
      </c>
      <c r="E192">
        <v>1487</v>
      </c>
      <c r="F192">
        <f t="shared" si="216"/>
        <v>15382.4</v>
      </c>
      <c r="G192">
        <v>1587</v>
      </c>
      <c r="H192">
        <f t="shared" si="217"/>
        <v>16589.7</v>
      </c>
      <c r="I192">
        <v>1687</v>
      </c>
      <c r="J192">
        <f t="shared" si="223"/>
        <v>17743.8</v>
      </c>
      <c r="K192">
        <v>1787</v>
      </c>
      <c r="L192">
        <f t="shared" si="207"/>
        <v>18859</v>
      </c>
      <c r="M192">
        <v>1887</v>
      </c>
      <c r="N192">
        <f t="shared" si="218"/>
        <v>19911.400000000001</v>
      </c>
      <c r="O192">
        <v>1987</v>
      </c>
      <c r="P192">
        <f t="shared" si="219"/>
        <v>20889.8</v>
      </c>
      <c r="Q192">
        <v>2087</v>
      </c>
      <c r="R192">
        <f t="shared" si="220"/>
        <v>21774.1</v>
      </c>
      <c r="S192">
        <v>2187</v>
      </c>
      <c r="T192">
        <f t="shared" si="221"/>
        <v>22538.3</v>
      </c>
      <c r="U192">
        <v>2287</v>
      </c>
      <c r="V192">
        <f t="shared" si="222"/>
        <v>23141</v>
      </c>
      <c r="W192">
        <v>2387</v>
      </c>
    </row>
    <row r="193" spans="1:23" x14ac:dyDescent="0.3">
      <c r="A193">
        <v>1288</v>
      </c>
      <c r="B193">
        <f t="shared" si="214"/>
        <v>12926</v>
      </c>
      <c r="C193">
        <v>1388</v>
      </c>
      <c r="D193">
        <f t="shared" si="215"/>
        <v>14169.2</v>
      </c>
      <c r="E193">
        <v>1488</v>
      </c>
      <c r="F193">
        <f t="shared" si="216"/>
        <v>15394.6</v>
      </c>
      <c r="G193">
        <v>1588</v>
      </c>
      <c r="H193">
        <f t="shared" si="217"/>
        <v>16602.8</v>
      </c>
      <c r="I193">
        <v>1688</v>
      </c>
      <c r="J193">
        <f t="shared" si="223"/>
        <v>17755.2</v>
      </c>
      <c r="K193">
        <v>1788</v>
      </c>
      <c r="L193">
        <f t="shared" si="207"/>
        <v>18870</v>
      </c>
      <c r="M193">
        <v>1888</v>
      </c>
      <c r="N193">
        <f t="shared" si="218"/>
        <v>19921.599999999999</v>
      </c>
      <c r="O193">
        <v>1988</v>
      </c>
      <c r="P193">
        <f t="shared" si="219"/>
        <v>20899.2</v>
      </c>
      <c r="Q193">
        <v>2088</v>
      </c>
      <c r="R193">
        <f t="shared" si="220"/>
        <v>21782.400000000001</v>
      </c>
      <c r="S193">
        <v>2188</v>
      </c>
      <c r="T193">
        <f t="shared" si="221"/>
        <v>22545.200000000001</v>
      </c>
      <c r="U193">
        <v>2288</v>
      </c>
      <c r="V193">
        <f t="shared" si="222"/>
        <v>23146</v>
      </c>
      <c r="W193">
        <v>2388</v>
      </c>
    </row>
    <row r="194" spans="1:23" x14ac:dyDescent="0.3">
      <c r="A194">
        <v>1289</v>
      </c>
      <c r="B194">
        <f t="shared" si="214"/>
        <v>12938.5</v>
      </c>
      <c r="C194">
        <v>1389</v>
      </c>
      <c r="D194">
        <f t="shared" si="215"/>
        <v>14181.6</v>
      </c>
      <c r="E194">
        <v>1489</v>
      </c>
      <c r="F194">
        <f t="shared" si="216"/>
        <v>15406.8</v>
      </c>
      <c r="G194">
        <v>1589</v>
      </c>
      <c r="H194">
        <f t="shared" si="217"/>
        <v>16615.900000000001</v>
      </c>
      <c r="I194">
        <v>1689</v>
      </c>
      <c r="J194">
        <f t="shared" si="223"/>
        <v>17766.599999999999</v>
      </c>
      <c r="K194">
        <v>1789</v>
      </c>
      <c r="L194">
        <f>18672+((18782-18672)/10)*(K194-1770)</f>
        <v>18881</v>
      </c>
      <c r="M194">
        <v>1889</v>
      </c>
      <c r="N194">
        <f t="shared" si="218"/>
        <v>19931.8</v>
      </c>
      <c r="O194">
        <v>1989</v>
      </c>
      <c r="P194">
        <f t="shared" si="219"/>
        <v>20908.599999999999</v>
      </c>
      <c r="Q194">
        <v>2089</v>
      </c>
      <c r="R194">
        <f t="shared" si="220"/>
        <v>21790.7</v>
      </c>
      <c r="S194">
        <v>2189</v>
      </c>
      <c r="T194">
        <f t="shared" si="221"/>
        <v>22552.1</v>
      </c>
      <c r="U194">
        <v>2289</v>
      </c>
      <c r="V194">
        <f t="shared" si="222"/>
        <v>23151</v>
      </c>
      <c r="W194">
        <v>2389</v>
      </c>
    </row>
    <row r="195" spans="1:23" x14ac:dyDescent="0.3">
      <c r="A195">
        <v>1290</v>
      </c>
      <c r="B195">
        <v>12951</v>
      </c>
      <c r="C195">
        <v>1390</v>
      </c>
      <c r="D195">
        <v>14194</v>
      </c>
      <c r="E195">
        <v>1490</v>
      </c>
      <c r="F195">
        <v>15419</v>
      </c>
      <c r="G195">
        <v>1590</v>
      </c>
      <c r="H195">
        <v>16617</v>
      </c>
      <c r="I195">
        <v>1690</v>
      </c>
      <c r="J195">
        <v>17778</v>
      </c>
      <c r="K195">
        <v>1790</v>
      </c>
      <c r="L195">
        <f t="shared" si="207"/>
        <v>18892</v>
      </c>
      <c r="M195">
        <v>1890</v>
      </c>
      <c r="N195">
        <v>15781</v>
      </c>
      <c r="O195">
        <v>1990</v>
      </c>
      <c r="P195">
        <v>20918</v>
      </c>
      <c r="Q195">
        <v>2090</v>
      </c>
      <c r="R195">
        <v>21799</v>
      </c>
      <c r="S195">
        <v>2190</v>
      </c>
      <c r="T195">
        <v>22559</v>
      </c>
      <c r="U195">
        <v>2290</v>
      </c>
      <c r="V195">
        <v>23156</v>
      </c>
      <c r="W195">
        <v>2390</v>
      </c>
    </row>
    <row r="196" spans="1:23" x14ac:dyDescent="0.3">
      <c r="A196">
        <v>1291</v>
      </c>
      <c r="B196">
        <f>12951+((13076-12951)/10)*(A196-1290)</f>
        <v>12963.5</v>
      </c>
      <c r="C196">
        <v>1391</v>
      </c>
      <c r="D196">
        <f>14194+((14317-14194)/10)*(C196-1390)</f>
        <v>14206.3</v>
      </c>
      <c r="E196">
        <v>1491</v>
      </c>
      <c r="F196">
        <f>15419+((15540-15419)/10)*(E196-1490)</f>
        <v>15431.1</v>
      </c>
      <c r="G196">
        <v>1591</v>
      </c>
      <c r="H196">
        <f>16617+((16735-16617)/10)*(G196-1590)</f>
        <v>16628.8</v>
      </c>
      <c r="I196">
        <v>1691</v>
      </c>
      <c r="J196">
        <f>17778+((17891-17778)/10)*(I196-1690)</f>
        <v>17789.3</v>
      </c>
      <c r="K196">
        <v>1791</v>
      </c>
      <c r="L196">
        <f t="shared" si="207"/>
        <v>18903</v>
      </c>
      <c r="M196">
        <v>1891</v>
      </c>
      <c r="N196">
        <f>19942+((20043-19942)/10)*(M196-1890)</f>
        <v>19952.099999999999</v>
      </c>
      <c r="O196">
        <v>1991</v>
      </c>
      <c r="P196">
        <f>20918+((21011-20918)/10)*(O196-1990)</f>
        <v>20927.3</v>
      </c>
      <c r="Q196">
        <v>2091</v>
      </c>
      <c r="R196">
        <f>21799+((21881-21799)/10)*(Q196-2090)</f>
        <v>21807.200000000001</v>
      </c>
      <c r="S196">
        <v>2191</v>
      </c>
      <c r="T196">
        <f>22559+((22627-22559)/10)*(S196-2190)</f>
        <v>22565.8</v>
      </c>
      <c r="U196">
        <v>2291</v>
      </c>
      <c r="V196">
        <f>23156+((23204-23156)/10)*(U196-2290)</f>
        <v>23160.799999999999</v>
      </c>
      <c r="W196">
        <v>2391</v>
      </c>
    </row>
    <row r="197" spans="1:23" x14ac:dyDescent="0.3">
      <c r="A197">
        <v>1292</v>
      </c>
      <c r="B197">
        <f t="shared" ref="B197:B204" si="224">12951+((13076-12951)/10)*(A197-1290)</f>
        <v>12976</v>
      </c>
      <c r="C197">
        <v>1392</v>
      </c>
      <c r="D197">
        <f t="shared" ref="D197:D204" si="225">14194+((14317-14194)/10)*(C197-1390)</f>
        <v>14218.6</v>
      </c>
      <c r="E197">
        <v>1492</v>
      </c>
      <c r="F197">
        <f t="shared" ref="F197:F204" si="226">15419+((15540-15419)/10)*(E197-1490)</f>
        <v>15443.2</v>
      </c>
      <c r="G197">
        <v>1592</v>
      </c>
      <c r="H197">
        <f t="shared" ref="H197:H204" si="227">16617+((16735-16617)/10)*(G197-1590)</f>
        <v>16640.599999999999</v>
      </c>
      <c r="I197">
        <v>1692</v>
      </c>
      <c r="J197">
        <f t="shared" ref="J197:J204" si="228">17778+((17891-17778)/10)*(I197-1690)</f>
        <v>17800.599999999999</v>
      </c>
      <c r="K197">
        <v>1792</v>
      </c>
      <c r="L197">
        <f t="shared" si="207"/>
        <v>18914</v>
      </c>
      <c r="M197">
        <v>1892</v>
      </c>
      <c r="N197">
        <f t="shared" ref="N197:N204" si="229">19942+((20043-19942)/10)*(M197-1890)</f>
        <v>19962.2</v>
      </c>
      <c r="O197">
        <v>1992</v>
      </c>
      <c r="P197">
        <f t="shared" ref="P197:P204" si="230">20918+((21011-20918)/10)*(O197-1990)</f>
        <v>20936.599999999999</v>
      </c>
      <c r="Q197">
        <v>2092</v>
      </c>
      <c r="R197">
        <f t="shared" ref="R197:R204" si="231">21799+((21881-21799)/10)*(Q197-2090)</f>
        <v>21815.4</v>
      </c>
      <c r="S197">
        <v>2192</v>
      </c>
      <c r="T197">
        <f t="shared" ref="T197:T204" si="232">22559+((22627-22559)/10)*(S197-2190)</f>
        <v>22572.6</v>
      </c>
      <c r="U197">
        <v>2292</v>
      </c>
      <c r="V197">
        <f t="shared" ref="V197:V204" si="233">23156+((23204-23156)/10)*(U197-2290)</f>
        <v>23165.599999999999</v>
      </c>
      <c r="W197">
        <v>2392</v>
      </c>
    </row>
    <row r="198" spans="1:23" x14ac:dyDescent="0.3">
      <c r="A198">
        <v>1293</v>
      </c>
      <c r="B198">
        <f t="shared" si="224"/>
        <v>12988.5</v>
      </c>
      <c r="C198">
        <v>1393</v>
      </c>
      <c r="D198">
        <f t="shared" si="225"/>
        <v>14230.9</v>
      </c>
      <c r="E198">
        <v>1493</v>
      </c>
      <c r="F198">
        <f t="shared" si="226"/>
        <v>15455.3</v>
      </c>
      <c r="G198">
        <v>1593</v>
      </c>
      <c r="H198">
        <f t="shared" si="227"/>
        <v>16652.400000000001</v>
      </c>
      <c r="I198">
        <v>1693</v>
      </c>
      <c r="J198">
        <f t="shared" si="228"/>
        <v>17811.900000000001</v>
      </c>
      <c r="K198">
        <v>1793</v>
      </c>
      <c r="L198">
        <f t="shared" si="207"/>
        <v>18925</v>
      </c>
      <c r="M198">
        <v>1893</v>
      </c>
      <c r="N198">
        <f t="shared" si="229"/>
        <v>19972.3</v>
      </c>
      <c r="O198">
        <v>1993</v>
      </c>
      <c r="P198">
        <f t="shared" si="230"/>
        <v>20945.900000000001</v>
      </c>
      <c r="Q198">
        <v>2093</v>
      </c>
      <c r="R198">
        <f t="shared" si="231"/>
        <v>21823.599999999999</v>
      </c>
      <c r="S198">
        <v>2193</v>
      </c>
      <c r="T198">
        <f t="shared" si="232"/>
        <v>22579.4</v>
      </c>
      <c r="U198">
        <v>2293</v>
      </c>
      <c r="V198">
        <f t="shared" si="233"/>
        <v>23170.400000000001</v>
      </c>
      <c r="W198">
        <v>2393</v>
      </c>
    </row>
    <row r="199" spans="1:23" x14ac:dyDescent="0.3">
      <c r="A199">
        <v>1294</v>
      </c>
      <c r="B199">
        <f t="shared" si="224"/>
        <v>13001</v>
      </c>
      <c r="C199">
        <v>1394</v>
      </c>
      <c r="D199">
        <f t="shared" si="225"/>
        <v>14243.2</v>
      </c>
      <c r="E199">
        <v>1494</v>
      </c>
      <c r="F199">
        <f t="shared" si="226"/>
        <v>15467.4</v>
      </c>
      <c r="G199">
        <v>1594</v>
      </c>
      <c r="H199">
        <f t="shared" si="227"/>
        <v>16664.2</v>
      </c>
      <c r="I199">
        <v>1694</v>
      </c>
      <c r="J199">
        <f t="shared" si="228"/>
        <v>17823.2</v>
      </c>
      <c r="K199">
        <v>1794</v>
      </c>
      <c r="L199">
        <f t="shared" si="207"/>
        <v>18936</v>
      </c>
      <c r="M199">
        <v>1894</v>
      </c>
      <c r="N199">
        <f t="shared" si="229"/>
        <v>19982.400000000001</v>
      </c>
      <c r="O199">
        <v>1994</v>
      </c>
      <c r="P199">
        <f t="shared" si="230"/>
        <v>20955.2</v>
      </c>
      <c r="Q199">
        <v>2094</v>
      </c>
      <c r="R199">
        <f t="shared" si="231"/>
        <v>21831.8</v>
      </c>
      <c r="S199">
        <v>2194</v>
      </c>
      <c r="T199">
        <f t="shared" si="232"/>
        <v>22586.2</v>
      </c>
      <c r="U199">
        <v>2294</v>
      </c>
      <c r="V199">
        <f t="shared" si="233"/>
        <v>23175.200000000001</v>
      </c>
      <c r="W199">
        <v>2394</v>
      </c>
    </row>
    <row r="200" spans="1:23" x14ac:dyDescent="0.3">
      <c r="A200">
        <v>1295</v>
      </c>
      <c r="B200">
        <f t="shared" si="224"/>
        <v>13013.5</v>
      </c>
      <c r="C200">
        <v>1395</v>
      </c>
      <c r="D200">
        <f t="shared" si="225"/>
        <v>14255.5</v>
      </c>
      <c r="E200">
        <v>1495</v>
      </c>
      <c r="F200">
        <f t="shared" si="226"/>
        <v>15479.5</v>
      </c>
      <c r="G200">
        <v>1595</v>
      </c>
      <c r="H200">
        <f t="shared" si="227"/>
        <v>16676</v>
      </c>
      <c r="I200">
        <v>1695</v>
      </c>
      <c r="J200">
        <f t="shared" si="228"/>
        <v>17834.5</v>
      </c>
      <c r="K200">
        <v>1795</v>
      </c>
      <c r="L200">
        <f t="shared" si="207"/>
        <v>18947</v>
      </c>
      <c r="M200">
        <v>1895</v>
      </c>
      <c r="N200">
        <f t="shared" si="229"/>
        <v>19992.5</v>
      </c>
      <c r="O200">
        <v>1995</v>
      </c>
      <c r="P200">
        <f t="shared" si="230"/>
        <v>20964.5</v>
      </c>
      <c r="Q200">
        <v>2095</v>
      </c>
      <c r="R200">
        <f t="shared" si="231"/>
        <v>21840</v>
      </c>
      <c r="S200">
        <v>2195</v>
      </c>
      <c r="T200">
        <f t="shared" si="232"/>
        <v>22593</v>
      </c>
      <c r="U200">
        <v>2295</v>
      </c>
      <c r="V200">
        <f t="shared" si="233"/>
        <v>23180</v>
      </c>
      <c r="W200">
        <v>2395</v>
      </c>
    </row>
    <row r="201" spans="1:23" x14ac:dyDescent="0.3">
      <c r="A201">
        <v>1296</v>
      </c>
      <c r="B201">
        <f t="shared" si="224"/>
        <v>13026</v>
      </c>
      <c r="C201">
        <v>1396</v>
      </c>
      <c r="D201">
        <f t="shared" si="225"/>
        <v>14267.8</v>
      </c>
      <c r="E201">
        <v>1496</v>
      </c>
      <c r="F201">
        <f t="shared" si="226"/>
        <v>15491.6</v>
      </c>
      <c r="G201">
        <v>1596</v>
      </c>
      <c r="H201">
        <f t="shared" si="227"/>
        <v>16687.8</v>
      </c>
      <c r="I201">
        <v>1696</v>
      </c>
      <c r="J201">
        <f t="shared" si="228"/>
        <v>17845.8</v>
      </c>
      <c r="K201">
        <v>1796</v>
      </c>
      <c r="L201">
        <f t="shared" si="207"/>
        <v>18958</v>
      </c>
      <c r="M201">
        <v>1896</v>
      </c>
      <c r="N201">
        <f>21103+((21193-21103)/10)*(M201-2010)</f>
        <v>20077</v>
      </c>
      <c r="O201">
        <v>1996</v>
      </c>
      <c r="P201">
        <f t="shared" si="230"/>
        <v>20973.8</v>
      </c>
      <c r="Q201">
        <v>2096</v>
      </c>
      <c r="R201">
        <f t="shared" si="231"/>
        <v>21848.2</v>
      </c>
      <c r="S201">
        <v>2196</v>
      </c>
      <c r="T201">
        <f t="shared" si="232"/>
        <v>22599.8</v>
      </c>
      <c r="U201">
        <v>2296</v>
      </c>
      <c r="V201">
        <f>V202+((23204-23156)/10)*(U201-2290)</f>
        <v>23218.399999999998</v>
      </c>
      <c r="W201">
        <v>2396</v>
      </c>
    </row>
    <row r="202" spans="1:23" x14ac:dyDescent="0.3">
      <c r="A202">
        <v>1297</v>
      </c>
      <c r="B202">
        <f t="shared" si="224"/>
        <v>13038.5</v>
      </c>
      <c r="C202">
        <v>1397</v>
      </c>
      <c r="D202">
        <f t="shared" si="225"/>
        <v>14280.1</v>
      </c>
      <c r="E202">
        <v>1497</v>
      </c>
      <c r="F202">
        <f t="shared" si="226"/>
        <v>15503.7</v>
      </c>
      <c r="G202">
        <v>1597</v>
      </c>
      <c r="H202">
        <f t="shared" si="227"/>
        <v>16699.599999999999</v>
      </c>
      <c r="I202">
        <v>1697</v>
      </c>
      <c r="J202">
        <f t="shared" si="228"/>
        <v>17857.099999999999</v>
      </c>
      <c r="K202">
        <v>1797</v>
      </c>
      <c r="L202">
        <f t="shared" si="207"/>
        <v>18969</v>
      </c>
      <c r="M202">
        <v>1897</v>
      </c>
      <c r="N202">
        <f t="shared" si="229"/>
        <v>20012.7</v>
      </c>
      <c r="O202">
        <v>1997</v>
      </c>
      <c r="P202">
        <f t="shared" si="230"/>
        <v>20983.1</v>
      </c>
      <c r="Q202">
        <v>2097</v>
      </c>
      <c r="R202">
        <f t="shared" si="231"/>
        <v>21856.400000000001</v>
      </c>
      <c r="S202">
        <v>2197</v>
      </c>
      <c r="T202">
        <f t="shared" si="232"/>
        <v>22606.6</v>
      </c>
      <c r="U202">
        <v>2297</v>
      </c>
      <c r="V202">
        <f t="shared" si="233"/>
        <v>23189.599999999999</v>
      </c>
      <c r="W202">
        <v>2397</v>
      </c>
    </row>
    <row r="203" spans="1:23" x14ac:dyDescent="0.3">
      <c r="A203">
        <v>1298</v>
      </c>
      <c r="B203">
        <f>12951+((13076-12951)/10)*(A203-1290)</f>
        <v>13051</v>
      </c>
      <c r="C203">
        <v>1398</v>
      </c>
      <c r="D203">
        <f t="shared" si="225"/>
        <v>14292.4</v>
      </c>
      <c r="E203">
        <v>1498</v>
      </c>
      <c r="F203">
        <f t="shared" si="226"/>
        <v>15515.8</v>
      </c>
      <c r="G203">
        <v>1598</v>
      </c>
      <c r="H203">
        <f t="shared" si="227"/>
        <v>16711.400000000001</v>
      </c>
      <c r="I203">
        <v>1698</v>
      </c>
      <c r="J203">
        <f t="shared" si="228"/>
        <v>17868.400000000001</v>
      </c>
      <c r="K203">
        <v>1798</v>
      </c>
      <c r="L203">
        <f t="shared" si="207"/>
        <v>18980</v>
      </c>
      <c r="M203">
        <v>1898</v>
      </c>
      <c r="N203">
        <f t="shared" si="229"/>
        <v>20022.8</v>
      </c>
      <c r="O203">
        <v>1998</v>
      </c>
      <c r="P203">
        <f t="shared" si="230"/>
        <v>20992.400000000001</v>
      </c>
      <c r="Q203">
        <v>2098</v>
      </c>
      <c r="R203">
        <f t="shared" si="231"/>
        <v>21864.6</v>
      </c>
      <c r="S203">
        <v>2198</v>
      </c>
      <c r="T203">
        <f t="shared" si="232"/>
        <v>22613.4</v>
      </c>
      <c r="U203">
        <v>2298</v>
      </c>
      <c r="V203">
        <f t="shared" si="233"/>
        <v>23194.400000000001</v>
      </c>
      <c r="W203">
        <v>2398</v>
      </c>
    </row>
    <row r="204" spans="1:23" x14ac:dyDescent="0.3">
      <c r="A204">
        <v>1299</v>
      </c>
      <c r="B204">
        <f t="shared" si="224"/>
        <v>13063.5</v>
      </c>
      <c r="C204">
        <v>1399</v>
      </c>
      <c r="D204">
        <f t="shared" si="225"/>
        <v>14304.7</v>
      </c>
      <c r="E204">
        <v>1499</v>
      </c>
      <c r="F204">
        <f t="shared" si="226"/>
        <v>15527.9</v>
      </c>
      <c r="G204">
        <v>1599</v>
      </c>
      <c r="H204">
        <f t="shared" si="227"/>
        <v>16723.2</v>
      </c>
      <c r="I204">
        <v>1699</v>
      </c>
      <c r="J204">
        <f t="shared" si="228"/>
        <v>17879.7</v>
      </c>
      <c r="K204">
        <v>1799</v>
      </c>
      <c r="L204">
        <f t="shared" si="207"/>
        <v>18991</v>
      </c>
      <c r="M204">
        <v>1899</v>
      </c>
      <c r="N204">
        <f t="shared" si="229"/>
        <v>20032.900000000001</v>
      </c>
      <c r="O204">
        <v>1999</v>
      </c>
      <c r="P204">
        <f t="shared" si="230"/>
        <v>21001.7</v>
      </c>
      <c r="Q204">
        <v>2099</v>
      </c>
      <c r="R204">
        <f t="shared" si="231"/>
        <v>21872.799999999999</v>
      </c>
      <c r="S204">
        <v>2199</v>
      </c>
      <c r="T204">
        <f t="shared" si="232"/>
        <v>22620.2</v>
      </c>
      <c r="U204">
        <v>2299</v>
      </c>
      <c r="V204">
        <f t="shared" si="233"/>
        <v>23199.200000000001</v>
      </c>
      <c r="W204">
        <v>2399</v>
      </c>
    </row>
    <row r="205" spans="1:23" x14ac:dyDescent="0.3">
      <c r="A205">
        <v>1300</v>
      </c>
      <c r="B205">
        <v>13076</v>
      </c>
      <c r="C205">
        <v>1400</v>
      </c>
      <c r="D205">
        <v>14317</v>
      </c>
      <c r="E205">
        <v>1500</v>
      </c>
      <c r="F205">
        <v>15540</v>
      </c>
      <c r="G205">
        <v>1600</v>
      </c>
      <c r="H205">
        <v>16735</v>
      </c>
      <c r="I205">
        <v>1700</v>
      </c>
      <c r="J205">
        <v>17891</v>
      </c>
      <c r="K205">
        <v>1800</v>
      </c>
      <c r="L205">
        <f t="shared" si="207"/>
        <v>19002</v>
      </c>
      <c r="M205">
        <v>1900</v>
      </c>
      <c r="N205">
        <v>20043</v>
      </c>
      <c r="O205">
        <v>2000</v>
      </c>
      <c r="P205">
        <v>21011</v>
      </c>
      <c r="Q205">
        <v>2100</v>
      </c>
      <c r="R205">
        <v>21881</v>
      </c>
      <c r="S205">
        <v>2200</v>
      </c>
      <c r="T205">
        <v>22627</v>
      </c>
      <c r="U205">
        <v>2300</v>
      </c>
      <c r="V205">
        <v>23204</v>
      </c>
      <c r="W205">
        <v>2400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05"/>
  <sheetViews>
    <sheetView topLeftCell="S61" zoomScale="120" zoomScaleNormal="120" workbookViewId="0">
      <selection activeCell="E13" sqref="E13"/>
    </sheetView>
  </sheetViews>
  <sheetFormatPr defaultRowHeight="14.4" x14ac:dyDescent="0.3"/>
  <sheetData>
    <row r="1" spans="1:36" ht="15" x14ac:dyDescent="0.25">
      <c r="A1">
        <v>0</v>
      </c>
      <c r="B1">
        <v>0</v>
      </c>
      <c r="C1">
        <v>100</v>
      </c>
      <c r="D1">
        <v>437</v>
      </c>
      <c r="E1">
        <v>200</v>
      </c>
      <c r="F1">
        <v>1226</v>
      </c>
      <c r="G1">
        <v>300</v>
      </c>
      <c r="H1">
        <v>2231</v>
      </c>
      <c r="I1">
        <v>400</v>
      </c>
      <c r="J1">
        <v>3402</v>
      </c>
      <c r="K1">
        <v>500</v>
      </c>
      <c r="L1">
        <v>4708</v>
      </c>
      <c r="M1">
        <v>600</v>
      </c>
      <c r="N1">
        <v>6127</v>
      </c>
      <c r="O1">
        <v>700</v>
      </c>
      <c r="P1">
        <v>7641</v>
      </c>
      <c r="Q1">
        <v>800</v>
      </c>
      <c r="R1">
        <v>9238</v>
      </c>
      <c r="S1">
        <v>900</v>
      </c>
      <c r="T1">
        <v>10904</v>
      </c>
      <c r="U1">
        <v>1000</v>
      </c>
      <c r="V1">
        <v>12630</v>
      </c>
      <c r="W1">
        <v>1100</v>
      </c>
      <c r="X1">
        <v>14407</v>
      </c>
      <c r="Y1">
        <v>1200</v>
      </c>
      <c r="Z1">
        <v>16225</v>
      </c>
      <c r="AA1">
        <v>1300</v>
      </c>
      <c r="AB1">
        <v>18077</v>
      </c>
      <c r="AC1">
        <v>1400</v>
      </c>
      <c r="AD1">
        <v>19955</v>
      </c>
      <c r="AE1">
        <v>1500</v>
      </c>
      <c r="AF1">
        <v>21852</v>
      </c>
      <c r="AG1">
        <v>1600</v>
      </c>
      <c r="AH1">
        <v>23790</v>
      </c>
      <c r="AI1">
        <v>1700</v>
      </c>
      <c r="AJ1">
        <v>25673</v>
      </c>
    </row>
    <row r="2" spans="1:36" ht="15" x14ac:dyDescent="0.25">
      <c r="A2">
        <v>1</v>
      </c>
      <c r="B2">
        <f>0+((14-0)/10)*(A2-0)</f>
        <v>1.4</v>
      </c>
      <c r="C2">
        <v>101</v>
      </c>
      <c r="D2">
        <f>437+((504-437)/10)*(C2-100)</f>
        <v>443.7</v>
      </c>
      <c r="E2">
        <v>201</v>
      </c>
      <c r="G2">
        <v>301</v>
      </c>
      <c r="I2">
        <v>401</v>
      </c>
      <c r="J2">
        <f>3402+((3527-3402)/10)*(I2-400)</f>
        <v>3414.5</v>
      </c>
      <c r="K2">
        <v>501</v>
      </c>
      <c r="L2">
        <f>4708+((4845-4708)/10)*(K2-500)</f>
        <v>4721.7</v>
      </c>
      <c r="M2">
        <v>601</v>
      </c>
      <c r="N2">
        <f>6127+((6274-6127)/10)*(M2-600)</f>
        <v>6141.7</v>
      </c>
      <c r="O2">
        <v>701</v>
      </c>
      <c r="P2">
        <f>7641+((7797-7641)/10)*(O2-700)</f>
        <v>7656.6</v>
      </c>
      <c r="Q2">
        <v>801</v>
      </c>
      <c r="R2">
        <f>9238+((9401-9238)/10)*(Q2-800)</f>
        <v>9254.2999999999993</v>
      </c>
      <c r="S2">
        <v>901</v>
      </c>
      <c r="T2">
        <f>10904+((11074-10904)/10)*(S2-900)</f>
        <v>10921</v>
      </c>
      <c r="U2">
        <v>1001</v>
      </c>
      <c r="V2">
        <f>12630+((12806-12630)/10)*(U2-1000)</f>
        <v>12647.6</v>
      </c>
      <c r="W2">
        <v>1101</v>
      </c>
      <c r="X2">
        <f>14407+((14587-14407)/10)*(W2-1100)</f>
        <v>14425</v>
      </c>
      <c r="Y2">
        <v>1201</v>
      </c>
      <c r="Z2">
        <f>16225+((16409-16225)/10)*(Y2-1200)</f>
        <v>16243.4</v>
      </c>
      <c r="AA2">
        <v>1301</v>
      </c>
      <c r="AB2">
        <f>18077+((18264-18077)/10)*(AA2-1300)</f>
        <v>18095.7</v>
      </c>
      <c r="AC2">
        <v>1401</v>
      </c>
      <c r="AD2">
        <f>19955+((20144-19955)/10)*(AC2-1400)</f>
        <v>19973.900000000001</v>
      </c>
      <c r="AE2">
        <v>1501</v>
      </c>
      <c r="AF2">
        <f>21852+((22042-21852)/10)*(AE2-1500)</f>
        <v>21871</v>
      </c>
      <c r="AG2">
        <v>1601</v>
      </c>
      <c r="AH2">
        <f>23790+((23951-23790)/10)*(AG2-1600)</f>
        <v>23806.1</v>
      </c>
      <c r="AI2">
        <v>1701</v>
      </c>
      <c r="AJ2">
        <f>25673+((25865-25673)/10)*(AI2-1700)</f>
        <v>25692.2</v>
      </c>
    </row>
    <row r="3" spans="1:36" ht="15" x14ac:dyDescent="0.25">
      <c r="A3">
        <v>2</v>
      </c>
      <c r="B3">
        <f t="shared" ref="B3:B10" si="0">0+((14-0)/10)*(A3-0)</f>
        <v>2.8</v>
      </c>
      <c r="C3">
        <v>102</v>
      </c>
      <c r="D3">
        <f t="shared" ref="D3:D10" si="1">437+((504-437)/10)*(C3-100)</f>
        <v>450.4</v>
      </c>
      <c r="E3">
        <v>202</v>
      </c>
      <c r="G3">
        <v>302</v>
      </c>
      <c r="I3">
        <v>402</v>
      </c>
      <c r="J3">
        <f t="shared" ref="J3:J10" si="2">3402+((3527-3402)/10)*(I3-400)</f>
        <v>3427</v>
      </c>
      <c r="K3">
        <v>502</v>
      </c>
      <c r="L3">
        <f t="shared" ref="L3:L10" si="3">4708+((4845-4708)/10)*(K3-500)</f>
        <v>4735.3999999999996</v>
      </c>
      <c r="M3">
        <v>602</v>
      </c>
      <c r="N3">
        <f t="shared" ref="N3:N10" si="4">6127+((6274-6127)/10)*(M3-600)</f>
        <v>6156.4</v>
      </c>
      <c r="O3">
        <v>702</v>
      </c>
      <c r="P3">
        <f t="shared" ref="P3:P10" si="5">7641+((7797-7641)/10)*(O3-700)</f>
        <v>7672.2</v>
      </c>
      <c r="Q3">
        <v>802</v>
      </c>
      <c r="R3">
        <f t="shared" ref="R3:R10" si="6">9238+((9401-9238)/10)*(Q3-800)</f>
        <v>9270.6</v>
      </c>
      <c r="S3">
        <v>902</v>
      </c>
      <c r="T3">
        <f t="shared" ref="T3:T10" si="7">10904+((11074-10904)/10)*(S3-900)</f>
        <v>10938</v>
      </c>
      <c r="U3">
        <v>1002</v>
      </c>
      <c r="V3">
        <f t="shared" ref="V3:V10" si="8">12630+((12806-12630)/10)*(U3-1000)</f>
        <v>12665.2</v>
      </c>
      <c r="W3">
        <v>1102</v>
      </c>
      <c r="X3">
        <f t="shared" ref="X3:X10" si="9">14407+((14587-14407)/10)*(W3-1100)</f>
        <v>14443</v>
      </c>
      <c r="Y3">
        <v>1202</v>
      </c>
      <c r="Z3">
        <f t="shared" ref="Z3:Z10" si="10">16225+((16409-16225)/10)*(Y3-1200)</f>
        <v>16261.8</v>
      </c>
      <c r="AA3">
        <v>1302</v>
      </c>
      <c r="AB3">
        <f t="shared" ref="AB3:AB10" si="11">18077+((18264-18077)/10)*(AA3-1300)</f>
        <v>18114.400000000001</v>
      </c>
      <c r="AC3">
        <v>1402</v>
      </c>
      <c r="AD3">
        <f t="shared" ref="AD3:AD10" si="12">19955+((20144-19955)/10)*(AC3-1400)</f>
        <v>19992.8</v>
      </c>
      <c r="AE3">
        <v>1502</v>
      </c>
      <c r="AF3">
        <f t="shared" ref="AF3:AF10" si="13">21852+((22042-21852)/10)*(AE3-1500)</f>
        <v>21890</v>
      </c>
      <c r="AG3">
        <v>1602</v>
      </c>
      <c r="AH3">
        <f t="shared" ref="AH3:AH10" si="14">23790+((23951-23790)/10)*(AG3-1600)</f>
        <v>23822.2</v>
      </c>
      <c r="AI3">
        <v>1702</v>
      </c>
      <c r="AJ3">
        <f t="shared" ref="AJ3:AJ10" si="15">25673+((25865-25673)/10)*(AI3-1700)</f>
        <v>25711.4</v>
      </c>
    </row>
    <row r="4" spans="1:36" ht="15" x14ac:dyDescent="0.25">
      <c r="A4">
        <v>3</v>
      </c>
      <c r="B4">
        <f t="shared" si="0"/>
        <v>4.1999999999999993</v>
      </c>
      <c r="C4">
        <v>103</v>
      </c>
      <c r="D4">
        <f t="shared" si="1"/>
        <v>457.1</v>
      </c>
      <c r="E4">
        <v>203</v>
      </c>
      <c r="G4">
        <v>303</v>
      </c>
      <c r="I4">
        <v>403</v>
      </c>
      <c r="J4">
        <f t="shared" si="2"/>
        <v>3439.5</v>
      </c>
      <c r="K4">
        <v>503</v>
      </c>
      <c r="L4">
        <f t="shared" si="3"/>
        <v>4749.1000000000004</v>
      </c>
      <c r="M4">
        <v>603</v>
      </c>
      <c r="N4">
        <f t="shared" si="4"/>
        <v>6171.1</v>
      </c>
      <c r="O4">
        <v>703</v>
      </c>
      <c r="P4">
        <f t="shared" si="5"/>
        <v>7687.8</v>
      </c>
      <c r="Q4">
        <v>803</v>
      </c>
      <c r="R4">
        <f t="shared" si="6"/>
        <v>9286.9</v>
      </c>
      <c r="S4">
        <v>903</v>
      </c>
      <c r="T4">
        <f t="shared" si="7"/>
        <v>10955</v>
      </c>
      <c r="U4">
        <v>1003</v>
      </c>
      <c r="V4">
        <f t="shared" si="8"/>
        <v>12682.8</v>
      </c>
      <c r="W4">
        <v>1103</v>
      </c>
      <c r="X4">
        <f t="shared" si="9"/>
        <v>14461</v>
      </c>
      <c r="Y4">
        <v>1203</v>
      </c>
      <c r="Z4">
        <f t="shared" si="10"/>
        <v>16280.2</v>
      </c>
      <c r="AA4">
        <v>1303</v>
      </c>
      <c r="AB4">
        <f t="shared" si="11"/>
        <v>18133.099999999999</v>
      </c>
      <c r="AC4">
        <v>1403</v>
      </c>
      <c r="AD4">
        <f t="shared" si="12"/>
        <v>20011.7</v>
      </c>
      <c r="AE4">
        <v>1503</v>
      </c>
      <c r="AF4">
        <f t="shared" si="13"/>
        <v>21909</v>
      </c>
      <c r="AG4">
        <v>1603</v>
      </c>
      <c r="AH4">
        <f t="shared" si="14"/>
        <v>23838.3</v>
      </c>
      <c r="AI4">
        <v>1703</v>
      </c>
      <c r="AJ4">
        <f t="shared" si="15"/>
        <v>25730.6</v>
      </c>
    </row>
    <row r="5" spans="1:36" ht="15" x14ac:dyDescent="0.25">
      <c r="A5">
        <v>4</v>
      </c>
      <c r="B5">
        <f t="shared" si="0"/>
        <v>5.6</v>
      </c>
      <c r="C5">
        <v>104</v>
      </c>
      <c r="D5">
        <f t="shared" si="1"/>
        <v>463.8</v>
      </c>
      <c r="E5">
        <v>204</v>
      </c>
      <c r="G5">
        <v>304</v>
      </c>
      <c r="I5">
        <v>404</v>
      </c>
      <c r="J5">
        <f t="shared" si="2"/>
        <v>3452</v>
      </c>
      <c r="K5">
        <v>504</v>
      </c>
      <c r="L5">
        <f t="shared" si="3"/>
        <v>4762.8</v>
      </c>
      <c r="M5">
        <v>604</v>
      </c>
      <c r="N5">
        <f t="shared" si="4"/>
        <v>6185.8</v>
      </c>
      <c r="O5">
        <v>704</v>
      </c>
      <c r="P5">
        <f t="shared" si="5"/>
        <v>7703.4</v>
      </c>
      <c r="Q5">
        <v>804</v>
      </c>
      <c r="R5">
        <f t="shared" si="6"/>
        <v>9303.2000000000007</v>
      </c>
      <c r="S5">
        <v>904</v>
      </c>
      <c r="T5">
        <f t="shared" si="7"/>
        <v>10972</v>
      </c>
      <c r="U5">
        <v>1004</v>
      </c>
      <c r="V5">
        <f t="shared" si="8"/>
        <v>12700.4</v>
      </c>
      <c r="W5">
        <v>1104</v>
      </c>
      <c r="X5">
        <f t="shared" si="9"/>
        <v>14479</v>
      </c>
      <c r="Y5">
        <v>1204</v>
      </c>
      <c r="Z5">
        <f t="shared" si="10"/>
        <v>16298.6</v>
      </c>
      <c r="AA5">
        <v>1304</v>
      </c>
      <c r="AB5">
        <f t="shared" si="11"/>
        <v>18151.8</v>
      </c>
      <c r="AC5">
        <v>1404</v>
      </c>
      <c r="AD5">
        <f t="shared" si="12"/>
        <v>20030.599999999999</v>
      </c>
      <c r="AE5">
        <v>1504</v>
      </c>
      <c r="AF5">
        <f t="shared" si="13"/>
        <v>21928</v>
      </c>
      <c r="AG5">
        <v>1604</v>
      </c>
      <c r="AH5">
        <f t="shared" si="14"/>
        <v>23854.400000000001</v>
      </c>
      <c r="AI5">
        <v>1704</v>
      </c>
      <c r="AJ5">
        <f t="shared" si="15"/>
        <v>25749.8</v>
      </c>
    </row>
    <row r="6" spans="1:36" ht="15" x14ac:dyDescent="0.25">
      <c r="A6">
        <v>5</v>
      </c>
      <c r="B6">
        <f t="shared" si="0"/>
        <v>7</v>
      </c>
      <c r="C6">
        <v>105</v>
      </c>
      <c r="D6">
        <f t="shared" si="1"/>
        <v>470.5</v>
      </c>
      <c r="E6">
        <v>205</v>
      </c>
      <c r="G6">
        <v>305</v>
      </c>
      <c r="I6">
        <v>405</v>
      </c>
      <c r="J6">
        <f t="shared" si="2"/>
        <v>3464.5</v>
      </c>
      <c r="K6">
        <v>505</v>
      </c>
      <c r="L6">
        <f t="shared" si="3"/>
        <v>4776.5</v>
      </c>
      <c r="M6">
        <v>605</v>
      </c>
      <c r="N6">
        <f t="shared" si="4"/>
        <v>6200.5</v>
      </c>
      <c r="O6">
        <v>705</v>
      </c>
      <c r="P6">
        <f t="shared" si="5"/>
        <v>7719</v>
      </c>
      <c r="Q6">
        <v>805</v>
      </c>
      <c r="R6">
        <f t="shared" si="6"/>
        <v>9319.5</v>
      </c>
      <c r="S6">
        <v>905</v>
      </c>
      <c r="T6">
        <f t="shared" si="7"/>
        <v>10989</v>
      </c>
      <c r="U6">
        <v>1005</v>
      </c>
      <c r="V6">
        <f t="shared" si="8"/>
        <v>12718</v>
      </c>
      <c r="W6">
        <v>1105</v>
      </c>
      <c r="X6">
        <f t="shared" si="9"/>
        <v>14497</v>
      </c>
      <c r="Y6">
        <v>1205</v>
      </c>
      <c r="Z6">
        <f t="shared" si="10"/>
        <v>16317</v>
      </c>
      <c r="AA6">
        <v>1305</v>
      </c>
      <c r="AB6">
        <f t="shared" si="11"/>
        <v>18170.5</v>
      </c>
      <c r="AC6">
        <v>1405</v>
      </c>
      <c r="AD6">
        <f t="shared" si="12"/>
        <v>20049.5</v>
      </c>
      <c r="AE6">
        <v>1505</v>
      </c>
      <c r="AF6">
        <f t="shared" si="13"/>
        <v>21947</v>
      </c>
      <c r="AG6">
        <v>1605</v>
      </c>
      <c r="AH6">
        <f t="shared" si="14"/>
        <v>23870.5</v>
      </c>
      <c r="AI6">
        <v>1705</v>
      </c>
      <c r="AJ6">
        <f t="shared" si="15"/>
        <v>25769</v>
      </c>
    </row>
    <row r="7" spans="1:36" ht="15" x14ac:dyDescent="0.25">
      <c r="A7">
        <v>6</v>
      </c>
      <c r="B7">
        <f t="shared" si="0"/>
        <v>8.3999999999999986</v>
      </c>
      <c r="C7">
        <v>106</v>
      </c>
      <c r="D7">
        <f t="shared" si="1"/>
        <v>477.2</v>
      </c>
      <c r="E7">
        <v>206</v>
      </c>
      <c r="G7">
        <v>306</v>
      </c>
      <c r="I7">
        <v>406</v>
      </c>
      <c r="J7">
        <f t="shared" si="2"/>
        <v>3477</v>
      </c>
      <c r="K7">
        <v>506</v>
      </c>
      <c r="L7">
        <f t="shared" si="3"/>
        <v>4790.2</v>
      </c>
      <c r="M7">
        <v>606</v>
      </c>
      <c r="N7">
        <f t="shared" si="4"/>
        <v>6215.2</v>
      </c>
      <c r="O7">
        <v>706</v>
      </c>
      <c r="P7">
        <f t="shared" si="5"/>
        <v>7734.6</v>
      </c>
      <c r="Q7">
        <v>806</v>
      </c>
      <c r="R7">
        <f t="shared" si="6"/>
        <v>9335.7999999999993</v>
      </c>
      <c r="S7">
        <v>906</v>
      </c>
      <c r="T7">
        <f t="shared" si="7"/>
        <v>11006</v>
      </c>
      <c r="U7">
        <v>1006</v>
      </c>
      <c r="V7">
        <f t="shared" si="8"/>
        <v>12735.6</v>
      </c>
      <c r="W7">
        <v>1106</v>
      </c>
      <c r="X7">
        <f t="shared" si="9"/>
        <v>14515</v>
      </c>
      <c r="Y7">
        <v>1206</v>
      </c>
      <c r="Z7">
        <f t="shared" si="10"/>
        <v>16335.4</v>
      </c>
      <c r="AA7">
        <v>1306</v>
      </c>
      <c r="AB7">
        <f t="shared" si="11"/>
        <v>18189.2</v>
      </c>
      <c r="AC7">
        <v>1406</v>
      </c>
      <c r="AD7">
        <f t="shared" si="12"/>
        <v>20068.400000000001</v>
      </c>
      <c r="AE7">
        <v>1506</v>
      </c>
      <c r="AF7">
        <f t="shared" si="13"/>
        <v>21966</v>
      </c>
      <c r="AG7">
        <v>1606</v>
      </c>
      <c r="AH7">
        <f t="shared" si="14"/>
        <v>23886.6</v>
      </c>
      <c r="AI7">
        <v>1706</v>
      </c>
      <c r="AJ7">
        <f t="shared" si="15"/>
        <v>25788.2</v>
      </c>
    </row>
    <row r="8" spans="1:36" ht="15" x14ac:dyDescent="0.25">
      <c r="A8">
        <v>7</v>
      </c>
      <c r="B8">
        <f t="shared" si="0"/>
        <v>9.7999999999999989</v>
      </c>
      <c r="C8">
        <v>107</v>
      </c>
      <c r="D8">
        <f t="shared" si="1"/>
        <v>483.9</v>
      </c>
      <c r="E8">
        <v>207</v>
      </c>
      <c r="G8">
        <v>307</v>
      </c>
      <c r="I8">
        <v>407</v>
      </c>
      <c r="J8">
        <f t="shared" si="2"/>
        <v>3489.5</v>
      </c>
      <c r="K8">
        <v>507</v>
      </c>
      <c r="L8">
        <f t="shared" si="3"/>
        <v>4803.8999999999996</v>
      </c>
      <c r="M8">
        <v>607</v>
      </c>
      <c r="N8">
        <f t="shared" si="4"/>
        <v>6229.9</v>
      </c>
      <c r="O8">
        <v>707</v>
      </c>
      <c r="P8">
        <f t="shared" si="5"/>
        <v>7750.2</v>
      </c>
      <c r="Q8">
        <v>807</v>
      </c>
      <c r="R8">
        <f t="shared" si="6"/>
        <v>9352.1</v>
      </c>
      <c r="S8">
        <v>907</v>
      </c>
      <c r="T8">
        <f t="shared" si="7"/>
        <v>11023</v>
      </c>
      <c r="U8">
        <v>1007</v>
      </c>
      <c r="V8">
        <f t="shared" si="8"/>
        <v>12753.2</v>
      </c>
      <c r="W8">
        <v>1107</v>
      </c>
      <c r="X8">
        <f t="shared" si="9"/>
        <v>14533</v>
      </c>
      <c r="Y8">
        <v>1207</v>
      </c>
      <c r="Z8">
        <f t="shared" si="10"/>
        <v>16353.8</v>
      </c>
      <c r="AA8">
        <v>1307</v>
      </c>
      <c r="AB8">
        <f t="shared" si="11"/>
        <v>18207.900000000001</v>
      </c>
      <c r="AC8">
        <v>1407</v>
      </c>
      <c r="AD8">
        <f t="shared" si="12"/>
        <v>20087.3</v>
      </c>
      <c r="AE8">
        <v>1507</v>
      </c>
      <c r="AF8">
        <f t="shared" si="13"/>
        <v>21985</v>
      </c>
      <c r="AG8">
        <v>1607</v>
      </c>
      <c r="AH8">
        <f t="shared" si="14"/>
        <v>23902.7</v>
      </c>
      <c r="AI8">
        <v>1707</v>
      </c>
      <c r="AJ8">
        <f t="shared" si="15"/>
        <v>25807.4</v>
      </c>
    </row>
    <row r="9" spans="1:36" x14ac:dyDescent="0.3">
      <c r="A9">
        <v>8</v>
      </c>
      <c r="B9">
        <f t="shared" si="0"/>
        <v>11.2</v>
      </c>
      <c r="C9">
        <v>108</v>
      </c>
      <c r="D9">
        <f t="shared" si="1"/>
        <v>490.6</v>
      </c>
      <c r="E9">
        <v>208</v>
      </c>
      <c r="G9">
        <v>308</v>
      </c>
      <c r="I9">
        <v>408</v>
      </c>
      <c r="J9">
        <f t="shared" si="2"/>
        <v>3502</v>
      </c>
      <c r="K9">
        <v>508</v>
      </c>
      <c r="L9">
        <f t="shared" si="3"/>
        <v>4817.6000000000004</v>
      </c>
      <c r="M9">
        <v>608</v>
      </c>
      <c r="N9">
        <f t="shared" si="4"/>
        <v>6244.6</v>
      </c>
      <c r="O9">
        <v>708</v>
      </c>
      <c r="P9">
        <f t="shared" si="5"/>
        <v>7765.8</v>
      </c>
      <c r="Q9">
        <v>808</v>
      </c>
      <c r="R9">
        <f t="shared" si="6"/>
        <v>9368.4</v>
      </c>
      <c r="S9">
        <v>908</v>
      </c>
      <c r="T9">
        <f t="shared" si="7"/>
        <v>11040</v>
      </c>
      <c r="U9">
        <v>1008</v>
      </c>
      <c r="V9">
        <f t="shared" si="8"/>
        <v>12770.8</v>
      </c>
      <c r="W9">
        <v>1108</v>
      </c>
      <c r="X9">
        <f t="shared" si="9"/>
        <v>14551</v>
      </c>
      <c r="Y9">
        <v>1208</v>
      </c>
      <c r="Z9">
        <f t="shared" si="10"/>
        <v>16372.2</v>
      </c>
      <c r="AA9">
        <v>1308</v>
      </c>
      <c r="AB9">
        <f t="shared" si="11"/>
        <v>18226.599999999999</v>
      </c>
      <c r="AC9">
        <v>1408</v>
      </c>
      <c r="AD9">
        <f t="shared" si="12"/>
        <v>20106.2</v>
      </c>
      <c r="AE9">
        <v>1508</v>
      </c>
      <c r="AF9">
        <f t="shared" si="13"/>
        <v>22004</v>
      </c>
      <c r="AG9">
        <v>1608</v>
      </c>
      <c r="AH9">
        <f t="shared" si="14"/>
        <v>23918.799999999999</v>
      </c>
      <c r="AI9">
        <v>1708</v>
      </c>
      <c r="AJ9">
        <f t="shared" si="15"/>
        <v>25826.6</v>
      </c>
    </row>
    <row r="10" spans="1:36" x14ac:dyDescent="0.3">
      <c r="A10">
        <v>9</v>
      </c>
      <c r="B10">
        <f t="shared" si="0"/>
        <v>12.6</v>
      </c>
      <c r="C10">
        <v>109</v>
      </c>
      <c r="D10">
        <f t="shared" si="1"/>
        <v>497.3</v>
      </c>
      <c r="E10">
        <v>209</v>
      </c>
      <c r="G10">
        <v>309</v>
      </c>
      <c r="I10">
        <v>409</v>
      </c>
      <c r="J10">
        <f t="shared" si="2"/>
        <v>3514.5</v>
      </c>
      <c r="K10">
        <v>509</v>
      </c>
      <c r="L10">
        <f t="shared" si="3"/>
        <v>4831.3</v>
      </c>
      <c r="M10">
        <v>609</v>
      </c>
      <c r="N10">
        <f t="shared" si="4"/>
        <v>6259.3</v>
      </c>
      <c r="O10">
        <v>709</v>
      </c>
      <c r="P10">
        <f t="shared" si="5"/>
        <v>7781.4</v>
      </c>
      <c r="Q10">
        <v>809</v>
      </c>
      <c r="R10">
        <f t="shared" si="6"/>
        <v>9384.7000000000007</v>
      </c>
      <c r="S10">
        <v>909</v>
      </c>
      <c r="T10">
        <f t="shared" si="7"/>
        <v>11057</v>
      </c>
      <c r="U10">
        <v>1009</v>
      </c>
      <c r="V10">
        <f t="shared" si="8"/>
        <v>12788.4</v>
      </c>
      <c r="W10">
        <v>1109</v>
      </c>
      <c r="X10">
        <f t="shared" si="9"/>
        <v>14569</v>
      </c>
      <c r="Y10">
        <v>1209</v>
      </c>
      <c r="Z10">
        <f t="shared" si="10"/>
        <v>16390.599999999999</v>
      </c>
      <c r="AA10">
        <v>1309</v>
      </c>
      <c r="AB10">
        <f t="shared" si="11"/>
        <v>18245.3</v>
      </c>
      <c r="AC10">
        <v>1409</v>
      </c>
      <c r="AD10">
        <f t="shared" si="12"/>
        <v>20125.099999999999</v>
      </c>
      <c r="AE10">
        <v>1509</v>
      </c>
      <c r="AF10">
        <f t="shared" si="13"/>
        <v>22023</v>
      </c>
      <c r="AG10">
        <v>1609</v>
      </c>
      <c r="AH10">
        <f t="shared" si="14"/>
        <v>23934.9</v>
      </c>
      <c r="AI10">
        <v>1709</v>
      </c>
      <c r="AJ10">
        <f t="shared" si="15"/>
        <v>25845.8</v>
      </c>
    </row>
    <row r="11" spans="1:36" x14ac:dyDescent="0.3">
      <c r="A11">
        <v>10</v>
      </c>
      <c r="B11">
        <v>14</v>
      </c>
      <c r="C11">
        <v>110</v>
      </c>
      <c r="D11">
        <v>504</v>
      </c>
      <c r="E11">
        <v>210</v>
      </c>
      <c r="F11">
        <v>1318</v>
      </c>
      <c r="G11">
        <v>310</v>
      </c>
      <c r="H11">
        <v>2341</v>
      </c>
      <c r="I11">
        <v>410</v>
      </c>
      <c r="J11">
        <v>3527</v>
      </c>
      <c r="K11">
        <v>510</v>
      </c>
      <c r="L11">
        <v>4845</v>
      </c>
      <c r="M11">
        <v>610</v>
      </c>
      <c r="N11">
        <v>6274</v>
      </c>
      <c r="O11">
        <v>710</v>
      </c>
      <c r="P11">
        <v>7797</v>
      </c>
      <c r="Q11">
        <v>810</v>
      </c>
      <c r="R11">
        <v>9401</v>
      </c>
      <c r="S11">
        <v>910</v>
      </c>
      <c r="T11">
        <v>11074</v>
      </c>
      <c r="U11">
        <v>1010</v>
      </c>
      <c r="V11">
        <v>12806</v>
      </c>
      <c r="W11">
        <v>1110</v>
      </c>
      <c r="X11">
        <v>14587</v>
      </c>
      <c r="Y11">
        <v>1210</v>
      </c>
      <c r="Z11">
        <v>16409</v>
      </c>
      <c r="AA11">
        <v>1310</v>
      </c>
      <c r="AB11">
        <v>18264</v>
      </c>
      <c r="AC11">
        <v>1410</v>
      </c>
      <c r="AD11">
        <v>20144</v>
      </c>
      <c r="AE11">
        <v>1510</v>
      </c>
      <c r="AF11">
        <v>22042</v>
      </c>
      <c r="AG11">
        <v>1610</v>
      </c>
      <c r="AH11">
        <v>23951</v>
      </c>
      <c r="AI11">
        <v>1710</v>
      </c>
      <c r="AJ11">
        <v>25865</v>
      </c>
    </row>
    <row r="12" spans="1:36" x14ac:dyDescent="0.3">
      <c r="A12">
        <v>11</v>
      </c>
      <c r="B12">
        <f>14+((39-14)/10)*(A12-10)</f>
        <v>16.5</v>
      </c>
      <c r="C12">
        <v>111</v>
      </c>
      <c r="E12">
        <v>211</v>
      </c>
      <c r="G12">
        <v>311</v>
      </c>
      <c r="I12">
        <v>411</v>
      </c>
      <c r="J12">
        <f t="shared" ref="J12:J19" si="16">3527+((3653-3527)/10)*(I12-410)</f>
        <v>3539.6</v>
      </c>
      <c r="K12">
        <v>511</v>
      </c>
      <c r="M12">
        <v>611</v>
      </c>
      <c r="N12">
        <f>6274+((6422-6274)/10)*(M12-610)</f>
        <v>6288.8</v>
      </c>
      <c r="O12">
        <v>711</v>
      </c>
      <c r="P12" s="21">
        <f>7797+((7954-7797)/10)*(O12-710)</f>
        <v>7812.7</v>
      </c>
      <c r="Q12">
        <v>811</v>
      </c>
      <c r="R12">
        <f>9401+((9566-9401)/10)*(Q12-810)</f>
        <v>9417.5</v>
      </c>
      <c r="S12">
        <v>911</v>
      </c>
      <c r="T12">
        <f>11094+((11245-11074)/10)*(S12-910)</f>
        <v>11111.1</v>
      </c>
      <c r="U12">
        <v>1011</v>
      </c>
      <c r="V12">
        <f>12806+((12982-12806)/10)*(U12-1010)</f>
        <v>12823.6</v>
      </c>
      <c r="W12">
        <v>1111</v>
      </c>
      <c r="X12">
        <f>14587+((14768-14587)/10)*(W12-1110)</f>
        <v>14605.1</v>
      </c>
      <c r="Y12">
        <v>1211</v>
      </c>
      <c r="Z12">
        <f>16409+((16593-16409)/10)*(Y12-1210)</f>
        <v>16427.400000000001</v>
      </c>
      <c r="AA12">
        <v>1311</v>
      </c>
      <c r="AB12">
        <f>18264+((18451-18264)/10)*(AA12-1310)</f>
        <v>18282.7</v>
      </c>
      <c r="AC12">
        <v>1411</v>
      </c>
      <c r="AD12">
        <f t="shared" ref="AD12:AD20" si="17">20333+((20333-20144)/10)*(AC12-1410)</f>
        <v>20351.900000000001</v>
      </c>
      <c r="AE12">
        <v>1511</v>
      </c>
      <c r="AF12">
        <f>22042+((22233-22042)/10)*(AE12-1510)</f>
        <v>22061.1</v>
      </c>
      <c r="AG12">
        <v>1611</v>
      </c>
      <c r="AH12">
        <f>23951+((24143-23951)/10)*(AG12-1610)</f>
        <v>23970.2</v>
      </c>
      <c r="AI12">
        <v>1711</v>
      </c>
      <c r="AJ12">
        <f>25865+((26056-25865)/10)*(AI12-1710)</f>
        <v>25884.1</v>
      </c>
    </row>
    <row r="13" spans="1:36" x14ac:dyDescent="0.3">
      <c r="A13">
        <v>12</v>
      </c>
      <c r="B13">
        <f t="shared" ref="B13:B20" si="18">14+((39-14)/10)*(A13-10)</f>
        <v>19</v>
      </c>
      <c r="C13">
        <v>112</v>
      </c>
      <c r="E13">
        <v>212</v>
      </c>
      <c r="G13">
        <v>312</v>
      </c>
      <c r="I13">
        <v>412</v>
      </c>
      <c r="J13">
        <f t="shared" si="16"/>
        <v>3552.2</v>
      </c>
      <c r="K13">
        <v>512</v>
      </c>
      <c r="M13">
        <v>612</v>
      </c>
      <c r="N13">
        <f t="shared" ref="N13:N20" si="19">6274+((6422-6274)/10)*(M13-610)</f>
        <v>6303.6</v>
      </c>
      <c r="O13">
        <v>712</v>
      </c>
      <c r="P13" s="21">
        <f t="shared" ref="P13:P20" si="20">7797+((7954-7797)/10)*(O13-710)</f>
        <v>7828.4</v>
      </c>
      <c r="Q13">
        <v>812</v>
      </c>
      <c r="R13">
        <f t="shared" ref="R13:R20" si="21">9401+((9566-9401)/10)*(Q13-810)</f>
        <v>9434</v>
      </c>
      <c r="S13">
        <v>912</v>
      </c>
      <c r="T13">
        <f t="shared" ref="T13:T20" si="22">11094+((11245-11074)/10)*(S13-910)</f>
        <v>11128.2</v>
      </c>
      <c r="U13">
        <v>1012</v>
      </c>
      <c r="V13">
        <f>12806+((12982-12806)/10)*(U13-1010)</f>
        <v>12841.2</v>
      </c>
      <c r="W13">
        <v>1112</v>
      </c>
      <c r="X13">
        <f t="shared" ref="X13:X20" si="23">14587+((14768-14587)/10)*(W13-1110)</f>
        <v>14623.2</v>
      </c>
      <c r="Y13">
        <v>1212</v>
      </c>
      <c r="Z13">
        <f t="shared" ref="Z13:Z20" si="24">16409+((16593-16409)/10)*(Y13-1210)</f>
        <v>16445.8</v>
      </c>
      <c r="AA13">
        <v>1312</v>
      </c>
      <c r="AB13">
        <f t="shared" ref="AB13:AB20" si="25">18264+((18451-18264)/10)*(AA13-1310)</f>
        <v>18301.400000000001</v>
      </c>
      <c r="AC13">
        <v>1412</v>
      </c>
      <c r="AD13">
        <f>20144+((20333-20144)/10)*(AC13-1410)</f>
        <v>20181.8</v>
      </c>
      <c r="AE13">
        <v>1512</v>
      </c>
      <c r="AF13">
        <f t="shared" ref="AF13:AF20" si="26">22042+((22233-22042)/10)*(AE13-1510)</f>
        <v>22080.2</v>
      </c>
      <c r="AG13">
        <v>1612</v>
      </c>
      <c r="AH13">
        <f t="shared" ref="AH13:AH20" si="27">23951+((24143-23951)/10)*(AG13-1610)</f>
        <v>23989.4</v>
      </c>
      <c r="AI13">
        <v>1712</v>
      </c>
      <c r="AJ13">
        <f t="shared" ref="AJ13:AJ20" si="28">25865+((26056-25865)/10)*(AI13-1710)</f>
        <v>25903.200000000001</v>
      </c>
    </row>
    <row r="14" spans="1:36" x14ac:dyDescent="0.3">
      <c r="A14">
        <v>13</v>
      </c>
      <c r="B14">
        <f t="shared" si="18"/>
        <v>21.5</v>
      </c>
      <c r="C14">
        <v>113</v>
      </c>
      <c r="E14">
        <v>213</v>
      </c>
      <c r="G14">
        <v>313</v>
      </c>
      <c r="I14">
        <v>413</v>
      </c>
      <c r="J14">
        <f t="shared" si="16"/>
        <v>3564.8</v>
      </c>
      <c r="K14">
        <v>513</v>
      </c>
      <c r="M14">
        <v>613</v>
      </c>
      <c r="N14">
        <f t="shared" si="19"/>
        <v>6318.4</v>
      </c>
      <c r="O14">
        <v>713</v>
      </c>
      <c r="P14" s="21">
        <f t="shared" si="20"/>
        <v>7844.1</v>
      </c>
      <c r="Q14">
        <v>813</v>
      </c>
      <c r="R14">
        <f t="shared" si="21"/>
        <v>9450.5</v>
      </c>
      <c r="S14">
        <v>913</v>
      </c>
      <c r="T14">
        <f t="shared" si="22"/>
        <v>11145.3</v>
      </c>
      <c r="U14">
        <v>1013</v>
      </c>
      <c r="V14">
        <f t="shared" ref="V14:V20" si="29">12806+((12982-12806)/10)*(U14-1010)</f>
        <v>12858.8</v>
      </c>
      <c r="W14">
        <v>1113</v>
      </c>
      <c r="X14">
        <f t="shared" si="23"/>
        <v>14641.3</v>
      </c>
      <c r="Y14">
        <v>1213</v>
      </c>
      <c r="Z14">
        <f t="shared" si="24"/>
        <v>16464.2</v>
      </c>
      <c r="AA14">
        <v>1313</v>
      </c>
      <c r="AB14">
        <f t="shared" si="25"/>
        <v>18320.099999999999</v>
      </c>
      <c r="AC14">
        <v>1413</v>
      </c>
      <c r="AD14">
        <f t="shared" si="17"/>
        <v>20389.7</v>
      </c>
      <c r="AE14">
        <v>1513</v>
      </c>
      <c r="AF14">
        <f t="shared" si="26"/>
        <v>22099.3</v>
      </c>
      <c r="AG14">
        <v>1613</v>
      </c>
      <c r="AI14">
        <v>1713</v>
      </c>
      <c r="AJ14">
        <f t="shared" si="28"/>
        <v>25922.3</v>
      </c>
    </row>
    <row r="15" spans="1:36" x14ac:dyDescent="0.3">
      <c r="A15">
        <v>14</v>
      </c>
      <c r="B15">
        <f t="shared" si="18"/>
        <v>24</v>
      </c>
      <c r="C15">
        <v>114</v>
      </c>
      <c r="E15">
        <v>214</v>
      </c>
      <c r="G15">
        <v>314</v>
      </c>
      <c r="I15">
        <v>414</v>
      </c>
      <c r="J15">
        <f t="shared" si="16"/>
        <v>3577.4</v>
      </c>
      <c r="K15">
        <v>514</v>
      </c>
      <c r="M15">
        <v>614</v>
      </c>
      <c r="N15">
        <f t="shared" si="19"/>
        <v>6333.2</v>
      </c>
      <c r="O15">
        <v>714</v>
      </c>
      <c r="P15" s="21">
        <f t="shared" si="20"/>
        <v>7859.8</v>
      </c>
      <c r="Q15">
        <v>814</v>
      </c>
      <c r="R15">
        <f t="shared" si="21"/>
        <v>9467</v>
      </c>
      <c r="S15">
        <v>914</v>
      </c>
      <c r="T15">
        <f t="shared" si="22"/>
        <v>11162.4</v>
      </c>
      <c r="U15">
        <v>1014</v>
      </c>
      <c r="V15">
        <f t="shared" si="29"/>
        <v>12876.4</v>
      </c>
      <c r="W15">
        <v>1114</v>
      </c>
      <c r="X15">
        <f t="shared" si="23"/>
        <v>14659.4</v>
      </c>
      <c r="Y15">
        <v>1214</v>
      </c>
      <c r="Z15">
        <f t="shared" si="24"/>
        <v>16482.599999999999</v>
      </c>
      <c r="AA15">
        <v>1314</v>
      </c>
      <c r="AB15">
        <f t="shared" si="25"/>
        <v>18338.8</v>
      </c>
      <c r="AC15">
        <v>1414</v>
      </c>
      <c r="AD15">
        <f t="shared" si="17"/>
        <v>20408.599999999999</v>
      </c>
      <c r="AE15">
        <v>1514</v>
      </c>
      <c r="AF15">
        <f t="shared" si="26"/>
        <v>22118.400000000001</v>
      </c>
      <c r="AG15">
        <v>1614</v>
      </c>
      <c r="AH15">
        <f t="shared" si="27"/>
        <v>24027.8</v>
      </c>
      <c r="AI15">
        <v>1714</v>
      </c>
      <c r="AJ15">
        <f t="shared" si="28"/>
        <v>25941.4</v>
      </c>
    </row>
    <row r="16" spans="1:36" x14ac:dyDescent="0.3">
      <c r="A16">
        <v>15</v>
      </c>
      <c r="B16">
        <f t="shared" si="18"/>
        <v>26.5</v>
      </c>
      <c r="C16">
        <v>115</v>
      </c>
      <c r="E16">
        <v>215</v>
      </c>
      <c r="G16">
        <v>315</v>
      </c>
      <c r="I16">
        <v>415</v>
      </c>
      <c r="J16">
        <f t="shared" si="16"/>
        <v>3590</v>
      </c>
      <c r="K16">
        <v>515</v>
      </c>
      <c r="M16">
        <v>615</v>
      </c>
      <c r="N16">
        <f t="shared" si="19"/>
        <v>6348</v>
      </c>
      <c r="O16">
        <v>715</v>
      </c>
      <c r="P16" s="21">
        <f t="shared" si="20"/>
        <v>7875.5</v>
      </c>
      <c r="Q16">
        <v>815</v>
      </c>
      <c r="R16">
        <f t="shared" si="21"/>
        <v>9483.5</v>
      </c>
      <c r="S16">
        <v>915</v>
      </c>
      <c r="T16">
        <f t="shared" si="22"/>
        <v>11179.5</v>
      </c>
      <c r="U16">
        <v>1015</v>
      </c>
      <c r="V16">
        <f t="shared" si="29"/>
        <v>12894</v>
      </c>
      <c r="W16">
        <v>1115</v>
      </c>
      <c r="X16">
        <f t="shared" si="23"/>
        <v>14677.5</v>
      </c>
      <c r="Y16">
        <v>1215</v>
      </c>
      <c r="Z16">
        <f t="shared" si="24"/>
        <v>16501</v>
      </c>
      <c r="AA16">
        <v>1315</v>
      </c>
      <c r="AB16">
        <f t="shared" si="25"/>
        <v>18357.5</v>
      </c>
      <c r="AC16">
        <v>1415</v>
      </c>
      <c r="AD16">
        <f>20333+((20333-20144)/10)*(AC16-1410)</f>
        <v>20427.5</v>
      </c>
      <c r="AE16">
        <v>1515</v>
      </c>
      <c r="AF16">
        <f t="shared" si="26"/>
        <v>22137.5</v>
      </c>
      <c r="AG16">
        <v>1615</v>
      </c>
      <c r="AH16">
        <f t="shared" si="27"/>
        <v>24047</v>
      </c>
      <c r="AI16">
        <v>1715</v>
      </c>
      <c r="AJ16">
        <f t="shared" si="28"/>
        <v>25960.5</v>
      </c>
    </row>
    <row r="17" spans="1:36" x14ac:dyDescent="0.3">
      <c r="A17">
        <v>16</v>
      </c>
      <c r="B17">
        <f t="shared" si="18"/>
        <v>29</v>
      </c>
      <c r="C17">
        <v>116</v>
      </c>
      <c r="E17">
        <v>216</v>
      </c>
      <c r="G17">
        <v>316</v>
      </c>
      <c r="I17">
        <v>416</v>
      </c>
      <c r="J17">
        <f t="shared" si="16"/>
        <v>3602.6</v>
      </c>
      <c r="K17">
        <v>516</v>
      </c>
      <c r="M17">
        <v>616</v>
      </c>
      <c r="N17">
        <f t="shared" si="19"/>
        <v>6362.8</v>
      </c>
      <c r="O17">
        <v>716</v>
      </c>
      <c r="P17" s="21">
        <f t="shared" si="20"/>
        <v>7891.2</v>
      </c>
      <c r="Q17">
        <v>816</v>
      </c>
      <c r="R17">
        <f t="shared" si="21"/>
        <v>9500</v>
      </c>
      <c r="S17">
        <v>916</v>
      </c>
      <c r="T17">
        <f t="shared" si="22"/>
        <v>11196.6</v>
      </c>
      <c r="U17">
        <v>1016</v>
      </c>
      <c r="V17">
        <f t="shared" si="29"/>
        <v>12911.6</v>
      </c>
      <c r="W17">
        <v>1116</v>
      </c>
      <c r="X17">
        <f t="shared" si="23"/>
        <v>14695.6</v>
      </c>
      <c r="Y17">
        <v>1216</v>
      </c>
      <c r="Z17">
        <f t="shared" si="24"/>
        <v>16519.400000000001</v>
      </c>
      <c r="AA17">
        <v>1316</v>
      </c>
      <c r="AB17">
        <f t="shared" si="25"/>
        <v>18376.2</v>
      </c>
      <c r="AC17">
        <v>1416</v>
      </c>
      <c r="AD17">
        <f t="shared" si="17"/>
        <v>20446.400000000001</v>
      </c>
      <c r="AE17">
        <v>1516</v>
      </c>
      <c r="AF17">
        <f t="shared" si="26"/>
        <v>22156.6</v>
      </c>
      <c r="AG17">
        <v>1616</v>
      </c>
      <c r="AH17">
        <f t="shared" si="27"/>
        <v>24066.2</v>
      </c>
      <c r="AI17">
        <v>1716</v>
      </c>
      <c r="AJ17">
        <f t="shared" si="28"/>
        <v>25979.599999999999</v>
      </c>
    </row>
    <row r="18" spans="1:36" x14ac:dyDescent="0.3">
      <c r="A18">
        <v>17</v>
      </c>
      <c r="B18">
        <f t="shared" si="18"/>
        <v>31.5</v>
      </c>
      <c r="C18">
        <v>117</v>
      </c>
      <c r="E18">
        <v>217</v>
      </c>
      <c r="G18">
        <v>317</v>
      </c>
      <c r="I18">
        <v>417</v>
      </c>
      <c r="J18">
        <f t="shared" si="16"/>
        <v>3615.2</v>
      </c>
      <c r="K18">
        <v>517</v>
      </c>
      <c r="M18">
        <v>617</v>
      </c>
      <c r="N18">
        <f t="shared" si="19"/>
        <v>6377.6</v>
      </c>
      <c r="O18">
        <v>717</v>
      </c>
      <c r="P18" s="21">
        <f t="shared" si="20"/>
        <v>7906.9</v>
      </c>
      <c r="Q18">
        <v>817</v>
      </c>
      <c r="R18">
        <f t="shared" si="21"/>
        <v>9516.5</v>
      </c>
      <c r="S18">
        <v>917</v>
      </c>
      <c r="T18">
        <f t="shared" si="22"/>
        <v>11213.7</v>
      </c>
      <c r="U18">
        <v>1017</v>
      </c>
      <c r="V18">
        <f t="shared" si="29"/>
        <v>12929.2</v>
      </c>
      <c r="W18">
        <v>1117</v>
      </c>
      <c r="X18">
        <f t="shared" si="23"/>
        <v>14713.7</v>
      </c>
      <c r="Y18">
        <v>1217</v>
      </c>
      <c r="Z18">
        <f t="shared" si="24"/>
        <v>16537.8</v>
      </c>
      <c r="AA18">
        <v>1317</v>
      </c>
      <c r="AB18">
        <f t="shared" si="25"/>
        <v>18394.900000000001</v>
      </c>
      <c r="AC18">
        <v>1417</v>
      </c>
      <c r="AD18">
        <f t="shared" si="17"/>
        <v>20465.3</v>
      </c>
      <c r="AE18">
        <v>1517</v>
      </c>
      <c r="AF18">
        <f t="shared" si="26"/>
        <v>22175.7</v>
      </c>
      <c r="AG18">
        <v>1617</v>
      </c>
      <c r="AH18">
        <f t="shared" si="27"/>
        <v>24085.4</v>
      </c>
      <c r="AI18">
        <v>1717</v>
      </c>
      <c r="AJ18">
        <f t="shared" si="28"/>
        <v>25998.7</v>
      </c>
    </row>
    <row r="19" spans="1:36" x14ac:dyDescent="0.3">
      <c r="A19">
        <v>18</v>
      </c>
      <c r="B19">
        <f t="shared" si="18"/>
        <v>34</v>
      </c>
      <c r="C19">
        <v>118</v>
      </c>
      <c r="E19">
        <v>218</v>
      </c>
      <c r="G19">
        <v>318</v>
      </c>
      <c r="I19">
        <v>418</v>
      </c>
      <c r="J19">
        <f t="shared" si="16"/>
        <v>3627.8</v>
      </c>
      <c r="K19">
        <v>518</v>
      </c>
      <c r="M19">
        <v>618</v>
      </c>
      <c r="N19">
        <f t="shared" si="19"/>
        <v>6392.4</v>
      </c>
      <c r="O19">
        <v>718</v>
      </c>
      <c r="P19" s="21">
        <f t="shared" si="20"/>
        <v>7922.6</v>
      </c>
      <c r="Q19">
        <v>818</v>
      </c>
      <c r="R19">
        <f t="shared" si="21"/>
        <v>9533</v>
      </c>
      <c r="S19">
        <v>918</v>
      </c>
      <c r="T19">
        <f t="shared" si="22"/>
        <v>11230.8</v>
      </c>
      <c r="U19">
        <v>1018</v>
      </c>
      <c r="V19">
        <f t="shared" si="29"/>
        <v>12946.8</v>
      </c>
      <c r="W19">
        <v>1118</v>
      </c>
      <c r="X19">
        <f t="shared" si="23"/>
        <v>14731.8</v>
      </c>
      <c r="Y19">
        <v>1218</v>
      </c>
      <c r="Z19">
        <f t="shared" si="24"/>
        <v>16556.2</v>
      </c>
      <c r="AA19">
        <v>1318</v>
      </c>
      <c r="AB19">
        <f t="shared" si="25"/>
        <v>18413.599999999999</v>
      </c>
      <c r="AC19">
        <v>1418</v>
      </c>
      <c r="AD19">
        <f t="shared" si="17"/>
        <v>20484.2</v>
      </c>
      <c r="AE19">
        <v>1518</v>
      </c>
      <c r="AF19">
        <f t="shared" si="26"/>
        <v>22194.799999999999</v>
      </c>
      <c r="AG19">
        <v>1618</v>
      </c>
      <c r="AH19">
        <f t="shared" si="27"/>
        <v>24104.6</v>
      </c>
      <c r="AI19">
        <v>1718</v>
      </c>
      <c r="AJ19">
        <f t="shared" si="28"/>
        <v>26017.8</v>
      </c>
    </row>
    <row r="20" spans="1:36" x14ac:dyDescent="0.3">
      <c r="A20">
        <v>19</v>
      </c>
      <c r="B20">
        <f t="shared" si="18"/>
        <v>36.5</v>
      </c>
      <c r="C20">
        <v>119</v>
      </c>
      <c r="E20">
        <v>219</v>
      </c>
      <c r="G20">
        <v>319</v>
      </c>
      <c r="I20">
        <v>419</v>
      </c>
      <c r="J20">
        <f>3527+((3653-3527)/10)*(I20-410)</f>
        <v>3640.4</v>
      </c>
      <c r="K20">
        <v>519</v>
      </c>
      <c r="M20">
        <v>619</v>
      </c>
      <c r="N20">
        <f t="shared" si="19"/>
        <v>6407.2</v>
      </c>
      <c r="O20">
        <v>719</v>
      </c>
      <c r="P20" s="21">
        <f t="shared" si="20"/>
        <v>7938.3</v>
      </c>
      <c r="Q20">
        <v>819</v>
      </c>
      <c r="R20">
        <f t="shared" si="21"/>
        <v>9549.5</v>
      </c>
      <c r="S20">
        <v>919</v>
      </c>
      <c r="T20">
        <f t="shared" si="22"/>
        <v>11247.9</v>
      </c>
      <c r="U20">
        <v>1019</v>
      </c>
      <c r="V20">
        <f t="shared" si="29"/>
        <v>12964.4</v>
      </c>
      <c r="W20">
        <v>1119</v>
      </c>
      <c r="X20">
        <f t="shared" si="23"/>
        <v>14749.9</v>
      </c>
      <c r="Y20">
        <v>1219</v>
      </c>
      <c r="Z20">
        <f t="shared" si="24"/>
        <v>16574.599999999999</v>
      </c>
      <c r="AA20">
        <v>1319</v>
      </c>
      <c r="AB20">
        <f t="shared" si="25"/>
        <v>18432.3</v>
      </c>
      <c r="AC20">
        <v>1419</v>
      </c>
      <c r="AD20">
        <f t="shared" si="17"/>
        <v>20503.099999999999</v>
      </c>
      <c r="AE20">
        <v>1519</v>
      </c>
      <c r="AF20">
        <f t="shared" si="26"/>
        <v>22213.9</v>
      </c>
      <c r="AG20">
        <v>1619</v>
      </c>
      <c r="AH20">
        <f t="shared" si="27"/>
        <v>24123.8</v>
      </c>
      <c r="AI20">
        <v>1719</v>
      </c>
      <c r="AJ20">
        <f t="shared" si="28"/>
        <v>26036.9</v>
      </c>
    </row>
    <row r="21" spans="1:36" x14ac:dyDescent="0.3">
      <c r="A21">
        <v>20</v>
      </c>
      <c r="B21">
        <v>39</v>
      </c>
      <c r="C21">
        <v>120</v>
      </c>
      <c r="D21">
        <v>574</v>
      </c>
      <c r="E21">
        <v>220</v>
      </c>
      <c r="F21">
        <v>1412</v>
      </c>
      <c r="G21">
        <v>320</v>
      </c>
      <c r="H21">
        <v>2453</v>
      </c>
      <c r="I21">
        <v>420</v>
      </c>
      <c r="J21">
        <v>3653</v>
      </c>
      <c r="K21">
        <v>520</v>
      </c>
      <c r="L21">
        <v>4983</v>
      </c>
      <c r="M21">
        <v>620</v>
      </c>
      <c r="N21">
        <v>6422</v>
      </c>
      <c r="O21">
        <v>720</v>
      </c>
      <c r="P21">
        <v>7954</v>
      </c>
      <c r="Q21">
        <v>820</v>
      </c>
      <c r="R21">
        <v>9566</v>
      </c>
      <c r="S21">
        <v>920</v>
      </c>
      <c r="T21">
        <v>11245</v>
      </c>
      <c r="U21">
        <v>1020</v>
      </c>
      <c r="V21">
        <v>12982</v>
      </c>
      <c r="W21">
        <v>1120</v>
      </c>
      <c r="X21">
        <v>14768</v>
      </c>
      <c r="Y21">
        <v>1220</v>
      </c>
      <c r="Z21">
        <v>16593</v>
      </c>
      <c r="AA21">
        <v>1320</v>
      </c>
      <c r="AB21">
        <v>18451</v>
      </c>
      <c r="AC21">
        <v>1420</v>
      </c>
      <c r="AD21">
        <v>20333</v>
      </c>
      <c r="AE21">
        <v>1520</v>
      </c>
      <c r="AF21">
        <v>22233</v>
      </c>
      <c r="AG21">
        <v>1620</v>
      </c>
      <c r="AH21">
        <v>24143</v>
      </c>
      <c r="AI21">
        <v>1720</v>
      </c>
      <c r="AJ21">
        <v>26056</v>
      </c>
    </row>
    <row r="22" spans="1:36" x14ac:dyDescent="0.3">
      <c r="A22">
        <v>21</v>
      </c>
      <c r="C22">
        <v>121</v>
      </c>
      <c r="E22">
        <v>221</v>
      </c>
      <c r="G22">
        <v>321</v>
      </c>
      <c r="H22">
        <f>2453+((2567-2453)/10)*(G22-320)</f>
        <v>2464.4</v>
      </c>
      <c r="I22">
        <v>421</v>
      </c>
      <c r="J22">
        <f>3653+((3781-3653)/10)*(I22-420)</f>
        <v>3665.8</v>
      </c>
      <c r="K22">
        <v>521</v>
      </c>
      <c r="L22">
        <f>4983+((5122-4893)/10)*(K22-520)</f>
        <v>5005.8999999999996</v>
      </c>
      <c r="M22">
        <v>621</v>
      </c>
      <c r="N22">
        <f>6422+((6572-6422)/10)*(M22-620)</f>
        <v>6437</v>
      </c>
      <c r="O22">
        <v>721</v>
      </c>
      <c r="P22">
        <f>7954+((8112-7954)/10)*(O22-720)</f>
        <v>7969.8</v>
      </c>
      <c r="Q22">
        <v>821</v>
      </c>
      <c r="R22">
        <f>9566+((9731-9566)/10)*(Q22-820)</f>
        <v>9582.5</v>
      </c>
      <c r="S22">
        <v>921</v>
      </c>
      <c r="T22">
        <f>11245+((11416-11245)/10)*(S22-920)</f>
        <v>11262.1</v>
      </c>
      <c r="U22">
        <v>1021</v>
      </c>
      <c r="V22">
        <f>12982+((13159-12982)/10)*(U22-1020)</f>
        <v>12999.7</v>
      </c>
      <c r="W22">
        <v>1121</v>
      </c>
      <c r="X22">
        <f>14768+((14948-14768)/10)*(W22-1120)</f>
        <v>14786</v>
      </c>
      <c r="Y22">
        <v>1221</v>
      </c>
      <c r="Z22">
        <f>16593+((16778-16593)/10)*(Y22-1220)</f>
        <v>16611.5</v>
      </c>
      <c r="AA22">
        <v>1321</v>
      </c>
      <c r="AB22">
        <f>18451+((18638-18451)/10)*(AA22-1320)</f>
        <v>18469.7</v>
      </c>
      <c r="AC22">
        <v>1421</v>
      </c>
      <c r="AD22">
        <f>20333+((20522-20333)/10)*(AC22-1420)</f>
        <v>20351.900000000001</v>
      </c>
      <c r="AE22">
        <v>1521</v>
      </c>
      <c r="AF22">
        <f>22233+((22423-22233)/10)*(AE22-1520)</f>
        <v>22252</v>
      </c>
      <c r="AG22">
        <v>1621</v>
      </c>
      <c r="AH22">
        <f>24143+((24334-24143)/10)*(AG22-1620)</f>
        <v>24162.1</v>
      </c>
      <c r="AI22">
        <v>1721</v>
      </c>
      <c r="AJ22">
        <f>26056+((26247-26056)/10)*(AI22-1720)</f>
        <v>26075.1</v>
      </c>
    </row>
    <row r="23" spans="1:36" x14ac:dyDescent="0.3">
      <c r="A23">
        <v>22</v>
      </c>
      <c r="C23">
        <v>122</v>
      </c>
      <c r="E23">
        <v>222</v>
      </c>
      <c r="G23">
        <v>322</v>
      </c>
      <c r="H23">
        <f t="shared" ref="H23:H30" si="30">2453+((2567-2453)/10)*(G23-320)</f>
        <v>2475.8000000000002</v>
      </c>
      <c r="I23">
        <v>422</v>
      </c>
      <c r="J23">
        <f t="shared" ref="J23:J30" si="31">3653+((3781-3653)/10)*(I23-420)</f>
        <v>3678.6</v>
      </c>
      <c r="K23">
        <v>522</v>
      </c>
      <c r="L23">
        <f t="shared" ref="L23:L30" si="32">4983+((5122-4893)/10)*(K23-520)</f>
        <v>5028.8</v>
      </c>
      <c r="M23">
        <v>622</v>
      </c>
      <c r="N23">
        <f t="shared" ref="N23:N30" si="33">6422+((6572-6422)/10)*(M23-620)</f>
        <v>6452</v>
      </c>
      <c r="O23">
        <v>722</v>
      </c>
      <c r="P23">
        <f t="shared" ref="P23:P30" si="34">7954+((8112-7954)/10)*(O23-720)</f>
        <v>7985.6</v>
      </c>
      <c r="Q23">
        <v>822</v>
      </c>
      <c r="R23">
        <f t="shared" ref="R23:R30" si="35">9566+((9731-9566)/10)*(Q23-820)</f>
        <v>9599</v>
      </c>
      <c r="S23">
        <v>922</v>
      </c>
      <c r="T23">
        <f t="shared" ref="T23:T30" si="36">11245+((11416-11245)/10)*(S23-920)</f>
        <v>11279.2</v>
      </c>
      <c r="U23">
        <v>1022</v>
      </c>
      <c r="V23">
        <f t="shared" ref="V23:V30" si="37">12982+((13159-12982)/10)*(U23-1020)</f>
        <v>13017.4</v>
      </c>
      <c r="W23">
        <v>1122</v>
      </c>
      <c r="X23">
        <f t="shared" ref="X23:X30" si="38">14768+((14948-14768)/10)*(W23-1120)</f>
        <v>14804</v>
      </c>
      <c r="Y23">
        <v>1222</v>
      </c>
      <c r="Z23">
        <f t="shared" ref="Z23:Z30" si="39">16593+((16778-16593)/10)*(Y23-1220)</f>
        <v>16630</v>
      </c>
      <c r="AA23">
        <v>1322</v>
      </c>
      <c r="AB23">
        <f t="shared" ref="AB23:AB30" si="40">18451+((18638-18451)/10)*(AA23-1320)</f>
        <v>18488.400000000001</v>
      </c>
      <c r="AC23">
        <v>1422</v>
      </c>
      <c r="AD23">
        <f t="shared" ref="AD23:AD30" si="41">20333+((20522-20333)/10)*(AC23-1420)</f>
        <v>20370.8</v>
      </c>
      <c r="AE23">
        <v>1522</v>
      </c>
      <c r="AF23">
        <f t="shared" ref="AF23:AF30" si="42">22233+((22423-22233)/10)*(AE23-1520)</f>
        <v>22271</v>
      </c>
      <c r="AG23">
        <v>1622</v>
      </c>
      <c r="AH23">
        <f t="shared" ref="AH23:AH30" si="43">24143+((24334-24143)/10)*(AG23-1620)</f>
        <v>24181.200000000001</v>
      </c>
      <c r="AI23">
        <v>1722</v>
      </c>
      <c r="AJ23">
        <f t="shared" ref="AJ23:AJ30" si="44">26056+((26247-26056)/10)*(AI23-1720)</f>
        <v>26094.2</v>
      </c>
    </row>
    <row r="24" spans="1:36" x14ac:dyDescent="0.3">
      <c r="A24">
        <v>23</v>
      </c>
      <c r="C24">
        <v>123</v>
      </c>
      <c r="E24">
        <v>223</v>
      </c>
      <c r="G24">
        <v>323</v>
      </c>
      <c r="H24">
        <f t="shared" si="30"/>
        <v>2487.1999999999998</v>
      </c>
      <c r="I24">
        <v>423</v>
      </c>
      <c r="J24">
        <f t="shared" si="31"/>
        <v>3691.4</v>
      </c>
      <c r="K24">
        <v>523</v>
      </c>
      <c r="L24">
        <f t="shared" si="32"/>
        <v>5051.7</v>
      </c>
      <c r="M24">
        <v>623</v>
      </c>
      <c r="N24">
        <f t="shared" si="33"/>
        <v>6467</v>
      </c>
      <c r="O24">
        <v>723</v>
      </c>
      <c r="P24">
        <f t="shared" si="34"/>
        <v>8001.4</v>
      </c>
      <c r="Q24">
        <v>823</v>
      </c>
      <c r="R24">
        <f t="shared" si="35"/>
        <v>9615.5</v>
      </c>
      <c r="S24">
        <v>923</v>
      </c>
      <c r="T24">
        <f t="shared" si="36"/>
        <v>11296.3</v>
      </c>
      <c r="U24">
        <v>1023</v>
      </c>
      <c r="V24">
        <f t="shared" si="37"/>
        <v>13035.1</v>
      </c>
      <c r="W24">
        <v>1123</v>
      </c>
      <c r="X24">
        <f t="shared" si="38"/>
        <v>14822</v>
      </c>
      <c r="Y24">
        <v>1223</v>
      </c>
      <c r="Z24">
        <f t="shared" si="39"/>
        <v>16648.5</v>
      </c>
      <c r="AA24">
        <v>1323</v>
      </c>
      <c r="AB24">
        <f t="shared" si="40"/>
        <v>18507.099999999999</v>
      </c>
      <c r="AC24">
        <v>1423</v>
      </c>
      <c r="AD24">
        <f t="shared" si="41"/>
        <v>20389.7</v>
      </c>
      <c r="AE24">
        <v>1523</v>
      </c>
      <c r="AF24">
        <f t="shared" si="42"/>
        <v>22290</v>
      </c>
      <c r="AG24">
        <v>1623</v>
      </c>
      <c r="AH24">
        <f t="shared" si="43"/>
        <v>24200.3</v>
      </c>
      <c r="AI24">
        <v>1723</v>
      </c>
      <c r="AJ24">
        <f t="shared" si="44"/>
        <v>26113.3</v>
      </c>
    </row>
    <row r="25" spans="1:36" x14ac:dyDescent="0.3">
      <c r="A25">
        <v>24</v>
      </c>
      <c r="C25">
        <v>124</v>
      </c>
      <c r="E25">
        <v>224</v>
      </c>
      <c r="G25">
        <v>324</v>
      </c>
      <c r="H25">
        <f t="shared" si="30"/>
        <v>2498.6</v>
      </c>
      <c r="I25">
        <v>424</v>
      </c>
      <c r="J25">
        <f t="shared" si="31"/>
        <v>3704.2</v>
      </c>
      <c r="K25">
        <v>524</v>
      </c>
      <c r="L25">
        <f t="shared" si="32"/>
        <v>5074.6000000000004</v>
      </c>
      <c r="M25">
        <v>624</v>
      </c>
      <c r="N25">
        <f t="shared" si="33"/>
        <v>6482</v>
      </c>
      <c r="O25">
        <v>724</v>
      </c>
      <c r="P25">
        <f t="shared" si="34"/>
        <v>8017.2</v>
      </c>
      <c r="Q25">
        <v>824</v>
      </c>
      <c r="R25">
        <f t="shared" si="35"/>
        <v>9632</v>
      </c>
      <c r="S25">
        <v>924</v>
      </c>
      <c r="T25">
        <f t="shared" si="36"/>
        <v>11313.4</v>
      </c>
      <c r="U25">
        <v>1024</v>
      </c>
      <c r="V25">
        <f t="shared" si="37"/>
        <v>13052.8</v>
      </c>
      <c r="W25">
        <v>1124</v>
      </c>
      <c r="X25">
        <f t="shared" si="38"/>
        <v>14840</v>
      </c>
      <c r="Y25">
        <v>1224</v>
      </c>
      <c r="Z25">
        <f t="shared" si="39"/>
        <v>16667</v>
      </c>
      <c r="AA25">
        <v>1324</v>
      </c>
      <c r="AB25">
        <f t="shared" si="40"/>
        <v>18525.8</v>
      </c>
      <c r="AC25">
        <v>1424</v>
      </c>
      <c r="AD25">
        <f t="shared" si="41"/>
        <v>20408.599999999999</v>
      </c>
      <c r="AE25">
        <v>1524</v>
      </c>
      <c r="AF25">
        <f t="shared" si="42"/>
        <v>22309</v>
      </c>
      <c r="AG25">
        <v>1624</v>
      </c>
      <c r="AH25">
        <f t="shared" si="43"/>
        <v>24219.4</v>
      </c>
      <c r="AI25">
        <v>1724</v>
      </c>
      <c r="AJ25">
        <f t="shared" si="44"/>
        <v>26132.400000000001</v>
      </c>
    </row>
    <row r="26" spans="1:36" x14ac:dyDescent="0.3">
      <c r="A26">
        <v>25</v>
      </c>
      <c r="C26">
        <v>125</v>
      </c>
      <c r="E26">
        <v>225</v>
      </c>
      <c r="G26">
        <v>325</v>
      </c>
      <c r="H26">
        <f t="shared" si="30"/>
        <v>2510</v>
      </c>
      <c r="I26">
        <v>425</v>
      </c>
      <c r="J26">
        <f t="shared" si="31"/>
        <v>3717</v>
      </c>
      <c r="K26">
        <v>525</v>
      </c>
      <c r="L26">
        <f t="shared" si="32"/>
        <v>5097.5</v>
      </c>
      <c r="M26">
        <v>625</v>
      </c>
      <c r="N26">
        <f t="shared" si="33"/>
        <v>6497</v>
      </c>
      <c r="O26">
        <v>725</v>
      </c>
      <c r="P26">
        <f t="shared" si="34"/>
        <v>8033</v>
      </c>
      <c r="Q26">
        <v>825</v>
      </c>
      <c r="R26">
        <f t="shared" si="35"/>
        <v>9648.5</v>
      </c>
      <c r="S26">
        <v>925</v>
      </c>
      <c r="T26">
        <f t="shared" si="36"/>
        <v>11330.5</v>
      </c>
      <c r="U26">
        <v>1025</v>
      </c>
      <c r="V26">
        <f t="shared" si="37"/>
        <v>13070.5</v>
      </c>
      <c r="W26">
        <v>1125</v>
      </c>
      <c r="X26">
        <f t="shared" si="38"/>
        <v>14858</v>
      </c>
      <c r="Y26">
        <v>1225</v>
      </c>
      <c r="Z26">
        <f t="shared" si="39"/>
        <v>16685.5</v>
      </c>
      <c r="AA26">
        <v>1325</v>
      </c>
      <c r="AB26">
        <f t="shared" si="40"/>
        <v>18544.5</v>
      </c>
      <c r="AC26">
        <v>1425</v>
      </c>
      <c r="AD26">
        <f t="shared" si="41"/>
        <v>20427.5</v>
      </c>
      <c r="AE26">
        <v>1525</v>
      </c>
      <c r="AF26">
        <f t="shared" si="42"/>
        <v>22328</v>
      </c>
      <c r="AG26">
        <v>1625</v>
      </c>
      <c r="AH26">
        <f t="shared" si="43"/>
        <v>24238.5</v>
      </c>
      <c r="AI26">
        <v>1725</v>
      </c>
      <c r="AJ26">
        <f t="shared" si="44"/>
        <v>26151.5</v>
      </c>
    </row>
    <row r="27" spans="1:36" x14ac:dyDescent="0.3">
      <c r="A27">
        <v>26</v>
      </c>
      <c r="C27">
        <v>126</v>
      </c>
      <c r="E27">
        <v>226</v>
      </c>
      <c r="G27">
        <v>326</v>
      </c>
      <c r="H27">
        <f t="shared" si="30"/>
        <v>2521.4</v>
      </c>
      <c r="I27">
        <v>426</v>
      </c>
      <c r="J27">
        <f t="shared" si="31"/>
        <v>3729.8</v>
      </c>
      <c r="K27">
        <v>526</v>
      </c>
      <c r="L27">
        <f t="shared" si="32"/>
        <v>5120.3999999999996</v>
      </c>
      <c r="M27">
        <v>626</v>
      </c>
      <c r="N27">
        <f t="shared" si="33"/>
        <v>6512</v>
      </c>
      <c r="O27">
        <v>726</v>
      </c>
      <c r="P27">
        <f t="shared" si="34"/>
        <v>8048.8</v>
      </c>
      <c r="Q27">
        <v>826</v>
      </c>
      <c r="R27">
        <f t="shared" si="35"/>
        <v>9665</v>
      </c>
      <c r="S27">
        <v>926</v>
      </c>
      <c r="T27">
        <f t="shared" si="36"/>
        <v>11347.6</v>
      </c>
      <c r="U27">
        <v>1026</v>
      </c>
      <c r="V27">
        <f t="shared" si="37"/>
        <v>13088.2</v>
      </c>
      <c r="W27">
        <v>1126</v>
      </c>
      <c r="X27">
        <f t="shared" si="38"/>
        <v>14876</v>
      </c>
      <c r="Y27">
        <v>1226</v>
      </c>
      <c r="Z27">
        <f t="shared" si="39"/>
        <v>16704</v>
      </c>
      <c r="AA27">
        <v>1326</v>
      </c>
      <c r="AB27">
        <f t="shared" si="40"/>
        <v>18563.2</v>
      </c>
      <c r="AC27">
        <v>1426</v>
      </c>
      <c r="AD27">
        <f t="shared" si="41"/>
        <v>20446.400000000001</v>
      </c>
      <c r="AE27">
        <v>1526</v>
      </c>
      <c r="AF27">
        <f t="shared" si="42"/>
        <v>22347</v>
      </c>
      <c r="AG27">
        <v>1626</v>
      </c>
      <c r="AH27">
        <f t="shared" si="43"/>
        <v>24257.599999999999</v>
      </c>
      <c r="AI27">
        <v>1726</v>
      </c>
      <c r="AJ27">
        <f t="shared" si="44"/>
        <v>26170.6</v>
      </c>
    </row>
    <row r="28" spans="1:36" x14ac:dyDescent="0.3">
      <c r="A28">
        <v>27</v>
      </c>
      <c r="C28">
        <v>127</v>
      </c>
      <c r="E28">
        <v>227</v>
      </c>
      <c r="G28">
        <v>327</v>
      </c>
      <c r="H28">
        <f t="shared" si="30"/>
        <v>2532.8000000000002</v>
      </c>
      <c r="I28">
        <v>427</v>
      </c>
      <c r="J28">
        <f t="shared" si="31"/>
        <v>3742.6</v>
      </c>
      <c r="K28">
        <v>527</v>
      </c>
      <c r="L28">
        <f t="shared" si="32"/>
        <v>5143.3</v>
      </c>
      <c r="M28">
        <v>627</v>
      </c>
      <c r="N28">
        <f t="shared" si="33"/>
        <v>6527</v>
      </c>
      <c r="O28">
        <v>727</v>
      </c>
      <c r="P28">
        <f t="shared" si="34"/>
        <v>8064.6</v>
      </c>
      <c r="Q28">
        <v>827</v>
      </c>
      <c r="R28">
        <f t="shared" si="35"/>
        <v>9681.5</v>
      </c>
      <c r="S28">
        <v>927</v>
      </c>
      <c r="T28">
        <f t="shared" si="36"/>
        <v>11364.7</v>
      </c>
      <c r="U28">
        <v>1027</v>
      </c>
      <c r="V28">
        <f t="shared" si="37"/>
        <v>13105.9</v>
      </c>
      <c r="W28">
        <v>1127</v>
      </c>
      <c r="X28">
        <f t="shared" si="38"/>
        <v>14894</v>
      </c>
      <c r="Y28">
        <v>1227</v>
      </c>
      <c r="Z28">
        <f t="shared" si="39"/>
        <v>16722.5</v>
      </c>
      <c r="AA28">
        <v>1327</v>
      </c>
      <c r="AB28">
        <f t="shared" si="40"/>
        <v>18581.900000000001</v>
      </c>
      <c r="AC28">
        <v>1427</v>
      </c>
      <c r="AD28">
        <f t="shared" si="41"/>
        <v>20465.3</v>
      </c>
      <c r="AE28">
        <v>1527</v>
      </c>
      <c r="AF28">
        <f t="shared" si="42"/>
        <v>22366</v>
      </c>
      <c r="AG28">
        <v>1627</v>
      </c>
      <c r="AH28">
        <f t="shared" si="43"/>
        <v>24276.7</v>
      </c>
      <c r="AI28">
        <v>1727</v>
      </c>
      <c r="AJ28">
        <f t="shared" si="44"/>
        <v>26189.7</v>
      </c>
    </row>
    <row r="29" spans="1:36" x14ac:dyDescent="0.3">
      <c r="A29">
        <v>28</v>
      </c>
      <c r="C29">
        <v>128</v>
      </c>
      <c r="E29">
        <v>228</v>
      </c>
      <c r="G29">
        <v>328</v>
      </c>
      <c r="H29">
        <f t="shared" si="30"/>
        <v>2544.1999999999998</v>
      </c>
      <c r="I29">
        <v>428</v>
      </c>
      <c r="J29">
        <f t="shared" si="31"/>
        <v>3755.4</v>
      </c>
      <c r="K29">
        <v>528</v>
      </c>
      <c r="L29">
        <f t="shared" si="32"/>
        <v>5166.2</v>
      </c>
      <c r="M29">
        <v>628</v>
      </c>
      <c r="N29">
        <f t="shared" si="33"/>
        <v>6542</v>
      </c>
      <c r="O29">
        <v>728</v>
      </c>
      <c r="P29">
        <f t="shared" si="34"/>
        <v>8080.4</v>
      </c>
      <c r="Q29">
        <v>828</v>
      </c>
      <c r="R29">
        <f t="shared" si="35"/>
        <v>9698</v>
      </c>
      <c r="S29">
        <v>928</v>
      </c>
      <c r="T29">
        <f t="shared" si="36"/>
        <v>11381.8</v>
      </c>
      <c r="U29">
        <v>1028</v>
      </c>
      <c r="V29">
        <f t="shared" si="37"/>
        <v>13123.6</v>
      </c>
      <c r="W29">
        <v>1128</v>
      </c>
      <c r="X29">
        <f t="shared" si="38"/>
        <v>14912</v>
      </c>
      <c r="Y29">
        <v>1228</v>
      </c>
      <c r="Z29">
        <f t="shared" si="39"/>
        <v>16741</v>
      </c>
      <c r="AA29">
        <v>1328</v>
      </c>
      <c r="AB29">
        <f t="shared" si="40"/>
        <v>18600.599999999999</v>
      </c>
      <c r="AC29">
        <v>1428</v>
      </c>
      <c r="AD29">
        <f t="shared" si="41"/>
        <v>20484.2</v>
      </c>
      <c r="AE29">
        <v>1528</v>
      </c>
      <c r="AF29">
        <f t="shared" si="42"/>
        <v>22385</v>
      </c>
      <c r="AG29">
        <v>1628</v>
      </c>
      <c r="AH29">
        <f t="shared" si="43"/>
        <v>24295.8</v>
      </c>
      <c r="AI29">
        <v>1728</v>
      </c>
      <c r="AJ29">
        <f t="shared" si="44"/>
        <v>26208.799999999999</v>
      </c>
    </row>
    <row r="30" spans="1:36" x14ac:dyDescent="0.3">
      <c r="A30">
        <v>29</v>
      </c>
      <c r="C30">
        <v>129</v>
      </c>
      <c r="E30">
        <v>229</v>
      </c>
      <c r="G30">
        <v>329</v>
      </c>
      <c r="H30">
        <f t="shared" si="30"/>
        <v>2555.6</v>
      </c>
      <c r="I30">
        <v>429</v>
      </c>
      <c r="J30">
        <f t="shared" si="31"/>
        <v>3768.2</v>
      </c>
      <c r="K30">
        <v>529</v>
      </c>
      <c r="L30">
        <f t="shared" si="32"/>
        <v>5189.1000000000004</v>
      </c>
      <c r="M30">
        <v>629</v>
      </c>
      <c r="N30">
        <f t="shared" si="33"/>
        <v>6557</v>
      </c>
      <c r="O30">
        <v>729</v>
      </c>
      <c r="P30">
        <f t="shared" si="34"/>
        <v>8096.2</v>
      </c>
      <c r="Q30">
        <v>829</v>
      </c>
      <c r="R30">
        <f t="shared" si="35"/>
        <v>9714.5</v>
      </c>
      <c r="S30">
        <v>929</v>
      </c>
      <c r="T30">
        <f t="shared" si="36"/>
        <v>11398.9</v>
      </c>
      <c r="U30">
        <v>1029</v>
      </c>
      <c r="V30">
        <f t="shared" si="37"/>
        <v>13141.3</v>
      </c>
      <c r="W30">
        <v>1129</v>
      </c>
      <c r="X30">
        <f t="shared" si="38"/>
        <v>14930</v>
      </c>
      <c r="Y30">
        <v>1229</v>
      </c>
      <c r="Z30">
        <f t="shared" si="39"/>
        <v>16759.5</v>
      </c>
      <c r="AA30">
        <v>1329</v>
      </c>
      <c r="AB30">
        <f t="shared" si="40"/>
        <v>18619.3</v>
      </c>
      <c r="AC30">
        <v>1429</v>
      </c>
      <c r="AD30">
        <f t="shared" si="41"/>
        <v>20503.099999999999</v>
      </c>
      <c r="AE30">
        <v>1529</v>
      </c>
      <c r="AF30">
        <f t="shared" si="42"/>
        <v>22404</v>
      </c>
      <c r="AG30">
        <v>1629</v>
      </c>
      <c r="AH30">
        <f t="shared" si="43"/>
        <v>24314.9</v>
      </c>
      <c r="AI30">
        <v>1729</v>
      </c>
      <c r="AJ30">
        <f t="shared" si="44"/>
        <v>26227.9</v>
      </c>
    </row>
    <row r="31" spans="1:36" x14ac:dyDescent="0.3">
      <c r="A31">
        <v>30</v>
      </c>
      <c r="B31">
        <v>72</v>
      </c>
      <c r="C31">
        <v>130</v>
      </c>
      <c r="D31">
        <v>647</v>
      </c>
      <c r="E31">
        <v>230</v>
      </c>
      <c r="F31">
        <v>1508</v>
      </c>
      <c r="G31">
        <v>330</v>
      </c>
      <c r="H31">
        <v>2567</v>
      </c>
      <c r="I31">
        <v>430</v>
      </c>
      <c r="J31">
        <v>3781</v>
      </c>
      <c r="K31">
        <v>530</v>
      </c>
      <c r="L31">
        <v>5122</v>
      </c>
      <c r="M31">
        <v>630</v>
      </c>
      <c r="N31">
        <v>6572</v>
      </c>
      <c r="O31">
        <v>730</v>
      </c>
      <c r="P31">
        <v>8112</v>
      </c>
      <c r="Q31">
        <v>830</v>
      </c>
      <c r="R31">
        <v>9731</v>
      </c>
      <c r="S31">
        <v>930</v>
      </c>
      <c r="T31">
        <v>11416</v>
      </c>
      <c r="U31">
        <v>1030</v>
      </c>
      <c r="V31">
        <v>13159</v>
      </c>
      <c r="W31">
        <v>1130</v>
      </c>
      <c r="X31">
        <v>14948</v>
      </c>
      <c r="Y31">
        <v>1230</v>
      </c>
      <c r="Z31">
        <v>16778</v>
      </c>
      <c r="AA31">
        <v>1330</v>
      </c>
      <c r="AB31">
        <v>18638</v>
      </c>
      <c r="AC31">
        <v>1430</v>
      </c>
      <c r="AD31">
        <v>20522</v>
      </c>
      <c r="AE31">
        <v>1530</v>
      </c>
      <c r="AF31">
        <v>22423</v>
      </c>
      <c r="AG31">
        <v>1630</v>
      </c>
      <c r="AH31">
        <v>24334</v>
      </c>
      <c r="AI31">
        <v>1730</v>
      </c>
      <c r="AJ31">
        <v>26247</v>
      </c>
    </row>
    <row r="32" spans="1:36" x14ac:dyDescent="0.3">
      <c r="A32">
        <v>31</v>
      </c>
      <c r="C32">
        <v>131</v>
      </c>
      <c r="E32">
        <v>231</v>
      </c>
      <c r="F32">
        <f>1508+((1606-1508)/10)*(E32-230)</f>
        <v>1517.8</v>
      </c>
      <c r="G32">
        <v>331</v>
      </c>
      <c r="H32">
        <f>2567+((2682-2567)/10)*(G32-330)</f>
        <v>2578.5</v>
      </c>
      <c r="I32">
        <v>431</v>
      </c>
      <c r="J32">
        <f>3781+((3910-3781)/10)*(I32-430)</f>
        <v>3793.9</v>
      </c>
      <c r="K32">
        <v>531</v>
      </c>
      <c r="L32">
        <f>5122+((5263-5122)/10)*(K32-520)</f>
        <v>5277.1</v>
      </c>
      <c r="M32">
        <v>631</v>
      </c>
      <c r="N32">
        <f>6572+((6722-6572)/10)*(M32-630)</f>
        <v>6587</v>
      </c>
      <c r="O32">
        <v>731</v>
      </c>
      <c r="P32">
        <f>8112+((8271-8112)/10)*(O32-730)</f>
        <v>8127.9</v>
      </c>
      <c r="Q32">
        <v>831</v>
      </c>
      <c r="R32">
        <f>9731+((9897-9731)/10)*(Q32-830)</f>
        <v>9747.6</v>
      </c>
      <c r="S32">
        <v>931</v>
      </c>
      <c r="T32">
        <f>11416+((11588-11416)/10)*(S32-930)</f>
        <v>11433.2</v>
      </c>
      <c r="U32">
        <v>1031</v>
      </c>
      <c r="V32">
        <f>13159+((13336-13159)/10)*(U32-1030)</f>
        <v>13176.7</v>
      </c>
      <c r="W32">
        <v>1131</v>
      </c>
      <c r="X32">
        <f>14948+((15130-14948)/10)*(W32-1120)</f>
        <v>15148.2</v>
      </c>
      <c r="Y32">
        <v>1231</v>
      </c>
      <c r="Z32">
        <f>16778+((16962-16778)/10)*(Y32-1230)</f>
        <v>16796.400000000001</v>
      </c>
      <c r="AA32">
        <v>1331</v>
      </c>
      <c r="AB32">
        <f>18638+((18825-18638)/10)*(AA32-1330)</f>
        <v>18656.7</v>
      </c>
      <c r="AC32">
        <v>1431</v>
      </c>
      <c r="AD32">
        <f t="shared" ref="AD32:AD40" si="45">20522+((20712-20522)/10)*(AC32-1430)</f>
        <v>20541</v>
      </c>
      <c r="AE32">
        <v>1531</v>
      </c>
      <c r="AF32">
        <f>22423+((22614-22423)/10)*(AE32-1530)</f>
        <v>22442.1</v>
      </c>
      <c r="AG32">
        <v>1631</v>
      </c>
      <c r="AH32">
        <f>24334+((24525-24334)/10)*(AG32-1630)</f>
        <v>24353.1</v>
      </c>
      <c r="AI32">
        <v>1731</v>
      </c>
      <c r="AJ32">
        <f>26247+((26439-26247)/10)*(AI32-1730)</f>
        <v>26266.2</v>
      </c>
    </row>
    <row r="33" spans="1:36" x14ac:dyDescent="0.3">
      <c r="A33">
        <v>32</v>
      </c>
      <c r="C33">
        <v>132</v>
      </c>
      <c r="E33">
        <v>232</v>
      </c>
      <c r="F33">
        <f t="shared" ref="F33:F40" si="46">1508+((1606-1508)/10)*(E33-230)</f>
        <v>1527.6</v>
      </c>
      <c r="G33">
        <v>332</v>
      </c>
      <c r="H33">
        <f t="shared" ref="H33:H40" si="47">2567+((2682-2567)/10)*(G33-330)</f>
        <v>2590</v>
      </c>
      <c r="I33">
        <v>432</v>
      </c>
      <c r="J33">
        <f t="shared" ref="J33:J40" si="48">3781+((3910-3781)/10)*(I33-430)</f>
        <v>3806.8</v>
      </c>
      <c r="K33">
        <v>532</v>
      </c>
      <c r="L33">
        <f t="shared" ref="L33:L40" si="49">5122+((5263-5122)/10)*(K33-520)</f>
        <v>5291.2</v>
      </c>
      <c r="M33">
        <v>632</v>
      </c>
      <c r="N33">
        <f t="shared" ref="N33:N40" si="50">6572+((6722-6572)/10)*(M33-630)</f>
        <v>6602</v>
      </c>
      <c r="O33">
        <v>732</v>
      </c>
      <c r="P33">
        <f t="shared" ref="P33:P40" si="51">8112+((8271-8112)/10)*(O33-730)</f>
        <v>8143.8</v>
      </c>
      <c r="Q33">
        <v>832</v>
      </c>
      <c r="R33">
        <f t="shared" ref="R33:R40" si="52">9731+((9897-9731)/10)*(Q33-830)</f>
        <v>9764.2000000000007</v>
      </c>
      <c r="S33">
        <v>932</v>
      </c>
      <c r="T33">
        <f t="shared" ref="T33:T40" si="53">11416+((11588-11416)/10)*(S33-930)</f>
        <v>11450.4</v>
      </c>
      <c r="U33">
        <v>1032</v>
      </c>
      <c r="V33">
        <f t="shared" ref="V33:V40" si="54">13159+((13336-13159)/10)*(U33-1030)</f>
        <v>13194.4</v>
      </c>
      <c r="W33">
        <v>1132</v>
      </c>
      <c r="X33">
        <f t="shared" ref="X33:X40" si="55">14948+((15130-14948)/10)*(W33-1120)</f>
        <v>15166.4</v>
      </c>
      <c r="Y33">
        <v>1232</v>
      </c>
      <c r="Z33">
        <f t="shared" ref="Z33:Z40" si="56">16778+((16962-16778)/10)*(Y33-1230)</f>
        <v>16814.8</v>
      </c>
      <c r="AA33">
        <v>1332</v>
      </c>
      <c r="AB33">
        <f t="shared" ref="AB33:AB40" si="57">18638+((18825-18638)/10)*(AA33-1330)</f>
        <v>18675.400000000001</v>
      </c>
      <c r="AC33">
        <v>1432</v>
      </c>
      <c r="AD33">
        <f t="shared" si="45"/>
        <v>20560</v>
      </c>
      <c r="AE33">
        <v>1532</v>
      </c>
      <c r="AF33">
        <f t="shared" ref="AF33:AF40" si="58">22423+((22614-22423)/10)*(AE33-1530)</f>
        <v>22461.200000000001</v>
      </c>
      <c r="AG33">
        <v>1632</v>
      </c>
      <c r="AH33">
        <f t="shared" ref="AH33:AH40" si="59">24334+((24525-24334)/10)*(AG33-1630)</f>
        <v>24372.2</v>
      </c>
      <c r="AI33">
        <v>1732</v>
      </c>
      <c r="AJ33">
        <f t="shared" ref="AJ33:AJ40" si="60">26247+((26439-26247)/10)*(AI33-1730)</f>
        <v>26285.4</v>
      </c>
    </row>
    <row r="34" spans="1:36" x14ac:dyDescent="0.3">
      <c r="A34">
        <v>33</v>
      </c>
      <c r="C34">
        <v>133</v>
      </c>
      <c r="E34">
        <v>233</v>
      </c>
      <c r="F34">
        <f t="shared" si="46"/>
        <v>1537.4</v>
      </c>
      <c r="G34">
        <v>333</v>
      </c>
      <c r="H34">
        <f t="shared" si="47"/>
        <v>2601.5</v>
      </c>
      <c r="I34">
        <v>433</v>
      </c>
      <c r="J34">
        <f t="shared" si="48"/>
        <v>3819.7</v>
      </c>
      <c r="K34">
        <v>533</v>
      </c>
      <c r="L34">
        <f t="shared" si="49"/>
        <v>5305.3</v>
      </c>
      <c r="M34">
        <v>633</v>
      </c>
      <c r="N34">
        <f t="shared" si="50"/>
        <v>6617</v>
      </c>
      <c r="O34">
        <v>733</v>
      </c>
      <c r="P34">
        <f t="shared" si="51"/>
        <v>8159.7</v>
      </c>
      <c r="Q34">
        <v>833</v>
      </c>
      <c r="R34">
        <f t="shared" si="52"/>
        <v>9780.7999999999993</v>
      </c>
      <c r="S34">
        <v>933</v>
      </c>
      <c r="T34">
        <f t="shared" si="53"/>
        <v>11467.6</v>
      </c>
      <c r="U34">
        <v>1033</v>
      </c>
      <c r="V34">
        <f t="shared" si="54"/>
        <v>13212.1</v>
      </c>
      <c r="W34">
        <v>1133</v>
      </c>
      <c r="X34">
        <f t="shared" si="55"/>
        <v>15184.6</v>
      </c>
      <c r="Y34">
        <v>1233</v>
      </c>
      <c r="Z34">
        <f t="shared" si="56"/>
        <v>16833.2</v>
      </c>
      <c r="AA34">
        <v>1333</v>
      </c>
      <c r="AB34">
        <f t="shared" si="57"/>
        <v>18694.099999999999</v>
      </c>
      <c r="AC34">
        <v>1433</v>
      </c>
      <c r="AD34">
        <f t="shared" si="45"/>
        <v>20579</v>
      </c>
      <c r="AE34">
        <v>1533</v>
      </c>
      <c r="AF34">
        <f t="shared" si="58"/>
        <v>22480.3</v>
      </c>
      <c r="AG34">
        <v>1633</v>
      </c>
      <c r="AH34">
        <f t="shared" si="59"/>
        <v>24391.3</v>
      </c>
      <c r="AI34">
        <v>1733</v>
      </c>
      <c r="AJ34">
        <f t="shared" si="60"/>
        <v>26304.6</v>
      </c>
    </row>
    <row r="35" spans="1:36" x14ac:dyDescent="0.3">
      <c r="A35">
        <v>34</v>
      </c>
      <c r="C35">
        <v>134</v>
      </c>
      <c r="E35">
        <v>234</v>
      </c>
      <c r="F35">
        <f t="shared" si="46"/>
        <v>1547.2</v>
      </c>
      <c r="G35">
        <v>334</v>
      </c>
      <c r="H35">
        <f t="shared" si="47"/>
        <v>2613</v>
      </c>
      <c r="I35">
        <v>434</v>
      </c>
      <c r="J35">
        <f t="shared" si="48"/>
        <v>3832.6</v>
      </c>
      <c r="K35">
        <v>534</v>
      </c>
      <c r="L35">
        <f t="shared" si="49"/>
        <v>5319.4</v>
      </c>
      <c r="M35">
        <v>634</v>
      </c>
      <c r="N35">
        <f t="shared" si="50"/>
        <v>6632</v>
      </c>
      <c r="O35">
        <v>734</v>
      </c>
      <c r="P35">
        <f t="shared" si="51"/>
        <v>8175.6</v>
      </c>
      <c r="Q35">
        <v>834</v>
      </c>
      <c r="R35">
        <f t="shared" si="52"/>
        <v>9797.4</v>
      </c>
      <c r="S35">
        <v>934</v>
      </c>
      <c r="T35">
        <f t="shared" si="53"/>
        <v>11484.8</v>
      </c>
      <c r="U35">
        <v>1034</v>
      </c>
      <c r="V35">
        <f t="shared" si="54"/>
        <v>13229.8</v>
      </c>
      <c r="W35">
        <v>1134</v>
      </c>
      <c r="X35">
        <f t="shared" si="55"/>
        <v>15202.8</v>
      </c>
      <c r="Y35">
        <v>1234</v>
      </c>
      <c r="Z35">
        <f t="shared" si="56"/>
        <v>16851.599999999999</v>
      </c>
      <c r="AA35">
        <v>1334</v>
      </c>
      <c r="AB35">
        <f t="shared" si="57"/>
        <v>18712.8</v>
      </c>
      <c r="AC35">
        <v>1434</v>
      </c>
      <c r="AD35">
        <f t="shared" si="45"/>
        <v>20598</v>
      </c>
      <c r="AE35">
        <v>1534</v>
      </c>
      <c r="AF35">
        <f t="shared" si="58"/>
        <v>22499.4</v>
      </c>
      <c r="AG35">
        <v>1634</v>
      </c>
      <c r="AH35">
        <f t="shared" si="59"/>
        <v>24410.400000000001</v>
      </c>
      <c r="AI35">
        <v>1734</v>
      </c>
      <c r="AJ35">
        <f t="shared" si="60"/>
        <v>26323.8</v>
      </c>
    </row>
    <row r="36" spans="1:36" x14ac:dyDescent="0.3">
      <c r="A36">
        <v>35</v>
      </c>
      <c r="C36">
        <v>135</v>
      </c>
      <c r="E36">
        <v>235</v>
      </c>
      <c r="F36">
        <f t="shared" si="46"/>
        <v>1557</v>
      </c>
      <c r="G36">
        <v>335</v>
      </c>
      <c r="H36">
        <f t="shared" si="47"/>
        <v>2624.5</v>
      </c>
      <c r="I36">
        <v>435</v>
      </c>
      <c r="J36">
        <f t="shared" si="48"/>
        <v>3845.5</v>
      </c>
      <c r="K36">
        <v>535</v>
      </c>
      <c r="L36">
        <f t="shared" si="49"/>
        <v>5333.5</v>
      </c>
      <c r="M36">
        <v>635</v>
      </c>
      <c r="N36">
        <f t="shared" si="50"/>
        <v>6647</v>
      </c>
      <c r="O36">
        <v>735</v>
      </c>
      <c r="P36">
        <f t="shared" si="51"/>
        <v>8191.5</v>
      </c>
      <c r="Q36">
        <v>835</v>
      </c>
      <c r="R36">
        <f t="shared" si="52"/>
        <v>9814</v>
      </c>
      <c r="S36">
        <v>935</v>
      </c>
      <c r="T36">
        <f t="shared" si="53"/>
        <v>11502</v>
      </c>
      <c r="U36">
        <v>1035</v>
      </c>
      <c r="V36">
        <f t="shared" si="54"/>
        <v>13247.5</v>
      </c>
      <c r="W36">
        <v>1135</v>
      </c>
      <c r="X36">
        <f t="shared" si="55"/>
        <v>15221</v>
      </c>
      <c r="Y36">
        <v>1235</v>
      </c>
      <c r="Z36">
        <f t="shared" si="56"/>
        <v>16870</v>
      </c>
      <c r="AA36">
        <v>1335</v>
      </c>
      <c r="AB36">
        <f t="shared" si="57"/>
        <v>18731.5</v>
      </c>
      <c r="AC36">
        <v>1435</v>
      </c>
      <c r="AD36">
        <f t="shared" si="45"/>
        <v>20617</v>
      </c>
      <c r="AE36">
        <v>1535</v>
      </c>
      <c r="AF36">
        <f t="shared" si="58"/>
        <v>22518.5</v>
      </c>
      <c r="AG36">
        <v>1635</v>
      </c>
      <c r="AH36">
        <f t="shared" si="59"/>
        <v>24429.5</v>
      </c>
      <c r="AI36">
        <v>1735</v>
      </c>
      <c r="AJ36">
        <f t="shared" si="60"/>
        <v>26343</v>
      </c>
    </row>
    <row r="37" spans="1:36" x14ac:dyDescent="0.3">
      <c r="A37">
        <v>36</v>
      </c>
      <c r="C37">
        <v>136</v>
      </c>
      <c r="E37">
        <v>236</v>
      </c>
      <c r="F37">
        <f t="shared" si="46"/>
        <v>1566.8</v>
      </c>
      <c r="G37">
        <v>336</v>
      </c>
      <c r="H37">
        <f t="shared" si="47"/>
        <v>2636</v>
      </c>
      <c r="I37">
        <v>436</v>
      </c>
      <c r="J37">
        <f t="shared" si="48"/>
        <v>3858.4</v>
      </c>
      <c r="K37">
        <v>536</v>
      </c>
      <c r="L37">
        <f t="shared" si="49"/>
        <v>5347.6</v>
      </c>
      <c r="M37">
        <v>636</v>
      </c>
      <c r="N37">
        <f t="shared" si="50"/>
        <v>6662</v>
      </c>
      <c r="O37">
        <v>736</v>
      </c>
      <c r="P37">
        <f t="shared" si="51"/>
        <v>8207.4</v>
      </c>
      <c r="Q37">
        <v>836</v>
      </c>
      <c r="R37">
        <f t="shared" si="52"/>
        <v>9830.6</v>
      </c>
      <c r="S37">
        <v>936</v>
      </c>
      <c r="T37">
        <f t="shared" si="53"/>
        <v>11519.2</v>
      </c>
      <c r="U37">
        <v>1036</v>
      </c>
      <c r="V37">
        <f t="shared" si="54"/>
        <v>13265.2</v>
      </c>
      <c r="W37">
        <v>1136</v>
      </c>
      <c r="X37">
        <f t="shared" si="55"/>
        <v>15239.2</v>
      </c>
      <c r="Y37">
        <v>1236</v>
      </c>
      <c r="Z37">
        <f t="shared" si="56"/>
        <v>16888.400000000001</v>
      </c>
      <c r="AA37">
        <v>1336</v>
      </c>
      <c r="AB37">
        <f t="shared" si="57"/>
        <v>18750.2</v>
      </c>
      <c r="AC37">
        <v>1436</v>
      </c>
      <c r="AD37">
        <f t="shared" si="45"/>
        <v>20636</v>
      </c>
      <c r="AE37">
        <v>1536</v>
      </c>
      <c r="AF37">
        <f t="shared" si="58"/>
        <v>22537.599999999999</v>
      </c>
      <c r="AG37">
        <v>1636</v>
      </c>
      <c r="AH37">
        <f t="shared" si="59"/>
        <v>24448.6</v>
      </c>
      <c r="AI37">
        <v>1736</v>
      </c>
      <c r="AJ37">
        <f t="shared" si="60"/>
        <v>26362.2</v>
      </c>
    </row>
    <row r="38" spans="1:36" x14ac:dyDescent="0.3">
      <c r="A38">
        <v>37</v>
      </c>
      <c r="C38">
        <v>137</v>
      </c>
      <c r="E38">
        <v>237</v>
      </c>
      <c r="F38">
        <f t="shared" si="46"/>
        <v>1576.6</v>
      </c>
      <c r="G38">
        <v>337</v>
      </c>
      <c r="H38">
        <f t="shared" si="47"/>
        <v>2647.5</v>
      </c>
      <c r="I38">
        <v>437</v>
      </c>
      <c r="J38">
        <f t="shared" si="48"/>
        <v>3871.3</v>
      </c>
      <c r="K38">
        <v>537</v>
      </c>
      <c r="L38">
        <f t="shared" si="49"/>
        <v>5361.7</v>
      </c>
      <c r="M38">
        <v>637</v>
      </c>
      <c r="N38">
        <f t="shared" si="50"/>
        <v>6677</v>
      </c>
      <c r="O38">
        <v>737</v>
      </c>
      <c r="P38">
        <f t="shared" si="51"/>
        <v>8223.2999999999993</v>
      </c>
      <c r="Q38">
        <v>837</v>
      </c>
      <c r="R38">
        <f t="shared" si="52"/>
        <v>9847.2000000000007</v>
      </c>
      <c r="S38">
        <v>937</v>
      </c>
      <c r="T38">
        <f t="shared" si="53"/>
        <v>11536.4</v>
      </c>
      <c r="U38">
        <v>1037</v>
      </c>
      <c r="V38">
        <f t="shared" si="54"/>
        <v>13282.9</v>
      </c>
      <c r="W38">
        <v>1137</v>
      </c>
      <c r="X38">
        <f t="shared" si="55"/>
        <v>15257.4</v>
      </c>
      <c r="Y38">
        <v>1237</v>
      </c>
      <c r="Z38">
        <f t="shared" si="56"/>
        <v>16906.8</v>
      </c>
      <c r="AA38">
        <v>1337</v>
      </c>
      <c r="AB38">
        <f t="shared" si="57"/>
        <v>18768.900000000001</v>
      </c>
      <c r="AC38">
        <v>1437</v>
      </c>
      <c r="AD38">
        <f t="shared" si="45"/>
        <v>20655</v>
      </c>
      <c r="AE38">
        <v>1537</v>
      </c>
      <c r="AF38">
        <f t="shared" si="58"/>
        <v>22556.7</v>
      </c>
      <c r="AG38">
        <v>1637</v>
      </c>
      <c r="AH38">
        <f t="shared" si="59"/>
        <v>24467.7</v>
      </c>
      <c r="AI38">
        <v>1737</v>
      </c>
      <c r="AJ38">
        <f t="shared" si="60"/>
        <v>26381.4</v>
      </c>
    </row>
    <row r="39" spans="1:36" x14ac:dyDescent="0.3">
      <c r="A39">
        <v>38</v>
      </c>
      <c r="C39">
        <v>138</v>
      </c>
      <c r="E39">
        <v>238</v>
      </c>
      <c r="F39">
        <f t="shared" si="46"/>
        <v>1586.4</v>
      </c>
      <c r="G39">
        <v>338</v>
      </c>
      <c r="H39">
        <f t="shared" si="47"/>
        <v>2659</v>
      </c>
      <c r="I39">
        <v>438</v>
      </c>
      <c r="J39">
        <f t="shared" si="48"/>
        <v>3884.2</v>
      </c>
      <c r="K39">
        <v>538</v>
      </c>
      <c r="L39">
        <f t="shared" si="49"/>
        <v>5375.8</v>
      </c>
      <c r="M39">
        <v>638</v>
      </c>
      <c r="N39">
        <f t="shared" si="50"/>
        <v>6692</v>
      </c>
      <c r="O39">
        <v>738</v>
      </c>
      <c r="P39">
        <f t="shared" si="51"/>
        <v>8239.2000000000007</v>
      </c>
      <c r="Q39">
        <v>838</v>
      </c>
      <c r="R39">
        <f t="shared" si="52"/>
        <v>9863.7999999999993</v>
      </c>
      <c r="S39">
        <v>938</v>
      </c>
      <c r="T39">
        <f t="shared" si="53"/>
        <v>11553.6</v>
      </c>
      <c r="U39">
        <v>1038</v>
      </c>
      <c r="V39">
        <f t="shared" si="54"/>
        <v>13300.6</v>
      </c>
      <c r="W39">
        <v>1138</v>
      </c>
      <c r="X39">
        <f t="shared" si="55"/>
        <v>15275.6</v>
      </c>
      <c r="Y39">
        <v>1238</v>
      </c>
      <c r="Z39">
        <f t="shared" si="56"/>
        <v>16925.2</v>
      </c>
      <c r="AA39">
        <v>1338</v>
      </c>
      <c r="AB39">
        <f t="shared" si="57"/>
        <v>18787.599999999999</v>
      </c>
      <c r="AC39">
        <v>1438</v>
      </c>
      <c r="AD39">
        <f>20522+((20712-20522)/10)*(AC39-1430)</f>
        <v>20674</v>
      </c>
      <c r="AE39">
        <v>1538</v>
      </c>
      <c r="AF39">
        <f t="shared" si="58"/>
        <v>22575.8</v>
      </c>
      <c r="AG39">
        <v>1638</v>
      </c>
      <c r="AH39">
        <f t="shared" si="59"/>
        <v>24486.799999999999</v>
      </c>
      <c r="AI39">
        <v>1738</v>
      </c>
      <c r="AJ39">
        <f t="shared" si="60"/>
        <v>26400.6</v>
      </c>
    </row>
    <row r="40" spans="1:36" x14ac:dyDescent="0.3">
      <c r="A40">
        <v>39</v>
      </c>
      <c r="C40">
        <v>139</v>
      </c>
      <c r="E40">
        <v>239</v>
      </c>
      <c r="F40">
        <f t="shared" si="46"/>
        <v>1596.2</v>
      </c>
      <c r="G40">
        <v>339</v>
      </c>
      <c r="H40">
        <f t="shared" si="47"/>
        <v>2670.5</v>
      </c>
      <c r="I40">
        <v>439</v>
      </c>
      <c r="J40">
        <f t="shared" si="48"/>
        <v>3897.1</v>
      </c>
      <c r="K40">
        <v>539</v>
      </c>
      <c r="L40">
        <f t="shared" si="49"/>
        <v>5389.9</v>
      </c>
      <c r="M40">
        <v>639</v>
      </c>
      <c r="N40">
        <f t="shared" si="50"/>
        <v>6707</v>
      </c>
      <c r="O40">
        <v>739</v>
      </c>
      <c r="P40">
        <f t="shared" si="51"/>
        <v>8255.1</v>
      </c>
      <c r="Q40">
        <v>839</v>
      </c>
      <c r="R40">
        <f t="shared" si="52"/>
        <v>9880.4</v>
      </c>
      <c r="S40">
        <v>939</v>
      </c>
      <c r="T40">
        <f t="shared" si="53"/>
        <v>11570.8</v>
      </c>
      <c r="U40">
        <v>1039</v>
      </c>
      <c r="V40">
        <f t="shared" si="54"/>
        <v>13318.3</v>
      </c>
      <c r="W40">
        <v>1139</v>
      </c>
      <c r="X40">
        <f t="shared" si="55"/>
        <v>15293.8</v>
      </c>
      <c r="Y40">
        <v>1239</v>
      </c>
      <c r="Z40">
        <f t="shared" si="56"/>
        <v>16943.599999999999</v>
      </c>
      <c r="AA40">
        <v>1339</v>
      </c>
      <c r="AB40">
        <f t="shared" si="57"/>
        <v>18806.3</v>
      </c>
      <c r="AC40">
        <v>1439</v>
      </c>
      <c r="AD40">
        <f t="shared" si="45"/>
        <v>20693</v>
      </c>
      <c r="AE40">
        <v>1539</v>
      </c>
      <c r="AF40">
        <f t="shared" si="58"/>
        <v>22594.9</v>
      </c>
      <c r="AG40">
        <v>1639</v>
      </c>
      <c r="AH40">
        <f t="shared" si="59"/>
        <v>24505.9</v>
      </c>
      <c r="AI40">
        <v>1739</v>
      </c>
      <c r="AJ40">
        <f t="shared" si="60"/>
        <v>26419.8</v>
      </c>
    </row>
    <row r="41" spans="1:36" x14ac:dyDescent="0.3">
      <c r="A41">
        <v>40</v>
      </c>
      <c r="B41">
        <v>111</v>
      </c>
      <c r="C41">
        <v>140</v>
      </c>
      <c r="D41">
        <v>722</v>
      </c>
      <c r="E41">
        <v>240</v>
      </c>
      <c r="F41">
        <v>1606</v>
      </c>
      <c r="G41">
        <v>340</v>
      </c>
      <c r="H41">
        <v>2682</v>
      </c>
      <c r="I41">
        <v>440</v>
      </c>
      <c r="J41">
        <v>3910</v>
      </c>
      <c r="K41">
        <v>540</v>
      </c>
      <c r="L41">
        <v>5263</v>
      </c>
      <c r="M41">
        <v>640</v>
      </c>
      <c r="N41">
        <v>6722</v>
      </c>
      <c r="O41">
        <v>740</v>
      </c>
      <c r="P41">
        <v>8271</v>
      </c>
      <c r="Q41">
        <v>840</v>
      </c>
      <c r="R41">
        <v>9897</v>
      </c>
      <c r="S41">
        <v>940</v>
      </c>
      <c r="T41">
        <v>11588</v>
      </c>
      <c r="U41">
        <v>1040</v>
      </c>
      <c r="V41">
        <v>13336</v>
      </c>
      <c r="W41">
        <v>1140</v>
      </c>
      <c r="X41">
        <v>15130</v>
      </c>
      <c r="Y41">
        <v>1240</v>
      </c>
      <c r="Z41">
        <v>16962</v>
      </c>
      <c r="AA41">
        <v>1340</v>
      </c>
      <c r="AB41">
        <v>18825</v>
      </c>
      <c r="AC41">
        <v>1440</v>
      </c>
      <c r="AD41">
        <v>20712</v>
      </c>
      <c r="AE41">
        <v>1540</v>
      </c>
      <c r="AF41">
        <v>22614</v>
      </c>
      <c r="AG41">
        <v>1640</v>
      </c>
      <c r="AH41">
        <v>24525</v>
      </c>
      <c r="AI41">
        <v>1740</v>
      </c>
      <c r="AJ41">
        <v>26439</v>
      </c>
    </row>
    <row r="42" spans="1:36" x14ac:dyDescent="0.3">
      <c r="A42">
        <v>41</v>
      </c>
      <c r="C42">
        <v>141</v>
      </c>
      <c r="E42">
        <v>241</v>
      </c>
      <c r="G42">
        <v>341</v>
      </c>
      <c r="H42">
        <f>2682+((2798-2682)/10)*(G42-340)</f>
        <v>2693.6</v>
      </c>
      <c r="I42">
        <v>441</v>
      </c>
      <c r="K42">
        <v>541</v>
      </c>
      <c r="L42">
        <f>5263+((5404-5263)/10)*(K42-540)</f>
        <v>5277.1</v>
      </c>
      <c r="M42">
        <v>641</v>
      </c>
      <c r="N42">
        <f>6722+((6873-6722)/10)*(M42-640)</f>
        <v>6737.1</v>
      </c>
      <c r="O42">
        <v>741</v>
      </c>
      <c r="P42">
        <f>8271+((8430-8271)/10)*(O42-740)</f>
        <v>8286.9</v>
      </c>
      <c r="Q42">
        <v>841</v>
      </c>
      <c r="R42">
        <f>9897+((10063-9897)/10)*(Q42-840)</f>
        <v>9913.6</v>
      </c>
      <c r="S42">
        <v>941</v>
      </c>
      <c r="T42">
        <f>11588+((11761-11588)/10)*(S42-940)</f>
        <v>11605.3</v>
      </c>
      <c r="U42">
        <v>1041</v>
      </c>
      <c r="V42">
        <f>13336+((13513-13336)/10)*(U42-1040)</f>
        <v>13353.7</v>
      </c>
      <c r="W42">
        <v>1141</v>
      </c>
      <c r="X42">
        <f>15130+((15311-15130)/10)*(W42-1140)</f>
        <v>15148.1</v>
      </c>
      <c r="Y42">
        <v>1241</v>
      </c>
      <c r="Z42">
        <f>16962+((17147-16962)/10)*(Y42-1240)</f>
        <v>16980.5</v>
      </c>
      <c r="AA42">
        <v>1341</v>
      </c>
      <c r="AB42">
        <f>18825+((19013-18825)/10)*(AA42-1340)</f>
        <v>18843.8</v>
      </c>
      <c r="AC42">
        <v>1441</v>
      </c>
      <c r="AD42">
        <f>20712+((20901-20712)/10)*(AC42-1440)</f>
        <v>20730.900000000001</v>
      </c>
      <c r="AE42">
        <v>1541</v>
      </c>
      <c r="AF42">
        <f>22614+((22805-22614)/10)*(AE42-1540)</f>
        <v>22633.1</v>
      </c>
      <c r="AG42">
        <v>1641</v>
      </c>
      <c r="AH42">
        <f>24525+((24717-24525)/10)*(AG42-1640)</f>
        <v>24544.2</v>
      </c>
      <c r="AI42">
        <v>1741</v>
      </c>
      <c r="AJ42">
        <f>26439+((26630-26439)/10)*(AI42-1740)</f>
        <v>26458.1</v>
      </c>
    </row>
    <row r="43" spans="1:36" x14ac:dyDescent="0.3">
      <c r="A43">
        <v>42</v>
      </c>
      <c r="C43">
        <v>142</v>
      </c>
      <c r="E43">
        <v>242</v>
      </c>
      <c r="G43">
        <v>342</v>
      </c>
      <c r="H43">
        <f t="shared" ref="H43:H50" si="61">2682+((2798-2682)/10)*(G43-340)</f>
        <v>2705.2</v>
      </c>
      <c r="I43">
        <v>442</v>
      </c>
      <c r="K43">
        <v>542</v>
      </c>
      <c r="L43">
        <f t="shared" ref="L43:L50" si="62">5263+((5404-5263)/10)*(K43-540)</f>
        <v>5291.2</v>
      </c>
      <c r="M43">
        <v>642</v>
      </c>
      <c r="N43">
        <f t="shared" ref="N43:N50" si="63">6722+((6873-6722)/10)*(M43-640)</f>
        <v>6752.2</v>
      </c>
      <c r="O43">
        <v>742</v>
      </c>
      <c r="P43">
        <f t="shared" ref="P43:P50" si="64">8271+((8430-8271)/10)*(O43-740)</f>
        <v>8302.7999999999993</v>
      </c>
      <c r="Q43">
        <v>842</v>
      </c>
      <c r="R43">
        <f t="shared" ref="R43:R50" si="65">9897+((10063-9897)/10)*(Q43-840)</f>
        <v>9930.2000000000007</v>
      </c>
      <c r="S43">
        <v>942</v>
      </c>
      <c r="T43">
        <f t="shared" ref="T43:T50" si="66">11588+((11761-11588)/10)*(S43-940)</f>
        <v>11622.6</v>
      </c>
      <c r="U43">
        <v>1042</v>
      </c>
      <c r="V43">
        <f t="shared" ref="V43:V50" si="67">13336+((13513-13336)/10)*(U43-1040)</f>
        <v>13371.4</v>
      </c>
      <c r="W43">
        <v>1142</v>
      </c>
      <c r="X43">
        <f t="shared" ref="X43:X50" si="68">15130+((15311-15130)/10)*(W43-1140)</f>
        <v>15166.2</v>
      </c>
      <c r="Y43">
        <v>1242</v>
      </c>
      <c r="Z43">
        <f t="shared" ref="Z43:Z50" si="69">16962+((17147-16962)/10)*(Y43-1240)</f>
        <v>16999</v>
      </c>
      <c r="AA43">
        <v>1342</v>
      </c>
      <c r="AB43">
        <f t="shared" ref="AB43:AB50" si="70">18825+((19013-18825)/10)*(AA43-1340)</f>
        <v>18862.599999999999</v>
      </c>
      <c r="AC43">
        <v>1442</v>
      </c>
      <c r="AD43">
        <f t="shared" ref="AD43:AD50" si="71">20712+((20901-20712)/10)*(AC43-1440)</f>
        <v>20749.8</v>
      </c>
      <c r="AE43">
        <v>1542</v>
      </c>
      <c r="AF43">
        <f t="shared" ref="AF43:AF50" si="72">22614+((22805-22614)/10)*(AE43-1540)</f>
        <v>22652.2</v>
      </c>
      <c r="AG43">
        <v>1642</v>
      </c>
      <c r="AH43">
        <f t="shared" ref="AH43:AH50" si="73">24525+((24717-24525)/10)*(AG43-1640)</f>
        <v>24563.4</v>
      </c>
      <c r="AI43">
        <v>1742</v>
      </c>
      <c r="AJ43">
        <f t="shared" ref="AJ43:AJ50" si="74">26439+((26630-26439)/10)*(AI43-1740)</f>
        <v>26477.200000000001</v>
      </c>
    </row>
    <row r="44" spans="1:36" x14ac:dyDescent="0.3">
      <c r="A44">
        <v>43</v>
      </c>
      <c r="C44">
        <v>143</v>
      </c>
      <c r="E44">
        <v>243</v>
      </c>
      <c r="G44">
        <v>343</v>
      </c>
      <c r="H44">
        <f t="shared" si="61"/>
        <v>2716.8</v>
      </c>
      <c r="I44">
        <v>443</v>
      </c>
      <c r="K44">
        <v>543</v>
      </c>
      <c r="L44">
        <f t="shared" si="62"/>
        <v>5305.3</v>
      </c>
      <c r="M44">
        <v>643</v>
      </c>
      <c r="N44">
        <f t="shared" si="63"/>
        <v>6767.3</v>
      </c>
      <c r="O44">
        <v>743</v>
      </c>
      <c r="P44">
        <f t="shared" si="64"/>
        <v>8318.7000000000007</v>
      </c>
      <c r="Q44">
        <v>843</v>
      </c>
      <c r="R44">
        <f t="shared" si="65"/>
        <v>9946.7999999999993</v>
      </c>
      <c r="S44">
        <v>943</v>
      </c>
      <c r="T44">
        <f t="shared" si="66"/>
        <v>11639.9</v>
      </c>
      <c r="U44">
        <v>1043</v>
      </c>
      <c r="V44">
        <f t="shared" si="67"/>
        <v>13389.1</v>
      </c>
      <c r="W44">
        <v>1143</v>
      </c>
      <c r="X44">
        <f t="shared" si="68"/>
        <v>15184.3</v>
      </c>
      <c r="Y44">
        <v>1243</v>
      </c>
      <c r="Z44">
        <f t="shared" si="69"/>
        <v>17017.5</v>
      </c>
      <c r="AA44">
        <v>1343</v>
      </c>
      <c r="AB44">
        <f t="shared" si="70"/>
        <v>18881.400000000001</v>
      </c>
      <c r="AC44">
        <v>1443</v>
      </c>
      <c r="AD44">
        <f t="shared" si="71"/>
        <v>20768.7</v>
      </c>
      <c r="AE44">
        <v>1543</v>
      </c>
      <c r="AF44">
        <f t="shared" si="72"/>
        <v>22671.3</v>
      </c>
      <c r="AG44">
        <v>1643</v>
      </c>
      <c r="AH44">
        <f t="shared" si="73"/>
        <v>24582.6</v>
      </c>
      <c r="AI44">
        <v>1743</v>
      </c>
      <c r="AJ44">
        <f t="shared" si="74"/>
        <v>26496.3</v>
      </c>
    </row>
    <row r="45" spans="1:36" x14ac:dyDescent="0.3">
      <c r="A45">
        <v>44</v>
      </c>
      <c r="C45">
        <v>144</v>
      </c>
      <c r="E45">
        <v>244</v>
      </c>
      <c r="G45">
        <v>344</v>
      </c>
      <c r="H45">
        <f t="shared" si="61"/>
        <v>2728.4</v>
      </c>
      <c r="I45">
        <v>444</v>
      </c>
      <c r="K45">
        <v>544</v>
      </c>
      <c r="L45">
        <f t="shared" si="62"/>
        <v>5319.4</v>
      </c>
      <c r="M45">
        <v>644</v>
      </c>
      <c r="N45">
        <f t="shared" si="63"/>
        <v>6782.4</v>
      </c>
      <c r="O45">
        <v>744</v>
      </c>
      <c r="P45">
        <f t="shared" si="64"/>
        <v>8334.6</v>
      </c>
      <c r="Q45">
        <v>844</v>
      </c>
      <c r="R45">
        <f t="shared" si="65"/>
        <v>9963.4</v>
      </c>
      <c r="S45">
        <v>944</v>
      </c>
      <c r="T45">
        <f t="shared" si="66"/>
        <v>11657.2</v>
      </c>
      <c r="U45">
        <v>1044</v>
      </c>
      <c r="V45">
        <f t="shared" si="67"/>
        <v>13406.8</v>
      </c>
      <c r="W45">
        <v>1144</v>
      </c>
      <c r="X45">
        <f t="shared" si="68"/>
        <v>15202.4</v>
      </c>
      <c r="Y45">
        <v>1244</v>
      </c>
      <c r="Z45">
        <f t="shared" si="69"/>
        <v>17036</v>
      </c>
      <c r="AA45">
        <v>1344</v>
      </c>
      <c r="AB45">
        <f t="shared" si="70"/>
        <v>18900.2</v>
      </c>
      <c r="AC45">
        <v>1444</v>
      </c>
      <c r="AD45">
        <f t="shared" si="71"/>
        <v>20787.599999999999</v>
      </c>
      <c r="AE45">
        <v>1544</v>
      </c>
      <c r="AF45">
        <f t="shared" si="72"/>
        <v>22690.400000000001</v>
      </c>
      <c r="AG45">
        <v>1644</v>
      </c>
      <c r="AH45">
        <f t="shared" si="73"/>
        <v>24601.8</v>
      </c>
      <c r="AI45">
        <v>1744</v>
      </c>
      <c r="AJ45">
        <f t="shared" si="74"/>
        <v>26515.4</v>
      </c>
    </row>
    <row r="46" spans="1:36" x14ac:dyDescent="0.3">
      <c r="A46">
        <v>45</v>
      </c>
      <c r="C46">
        <v>145</v>
      </c>
      <c r="E46">
        <v>245</v>
      </c>
      <c r="G46">
        <v>345</v>
      </c>
      <c r="H46">
        <f t="shared" si="61"/>
        <v>2740</v>
      </c>
      <c r="I46">
        <v>445</v>
      </c>
      <c r="K46">
        <v>545</v>
      </c>
      <c r="L46">
        <f t="shared" si="62"/>
        <v>5333.5</v>
      </c>
      <c r="M46">
        <v>645</v>
      </c>
      <c r="N46">
        <f t="shared" si="63"/>
        <v>6797.5</v>
      </c>
      <c r="O46">
        <v>745</v>
      </c>
      <c r="P46">
        <f t="shared" si="64"/>
        <v>8350.5</v>
      </c>
      <c r="Q46">
        <v>845</v>
      </c>
      <c r="R46">
        <f t="shared" si="65"/>
        <v>9980</v>
      </c>
      <c r="S46">
        <v>945</v>
      </c>
      <c r="T46">
        <f t="shared" si="66"/>
        <v>11674.5</v>
      </c>
      <c r="U46">
        <v>1045</v>
      </c>
      <c r="V46">
        <f t="shared" si="67"/>
        <v>13424.5</v>
      </c>
      <c r="W46">
        <v>1145</v>
      </c>
      <c r="X46">
        <f t="shared" si="68"/>
        <v>15220.5</v>
      </c>
      <c r="Y46">
        <v>1245</v>
      </c>
      <c r="Z46">
        <f t="shared" si="69"/>
        <v>17054.5</v>
      </c>
      <c r="AA46">
        <v>1345</v>
      </c>
      <c r="AB46">
        <f t="shared" si="70"/>
        <v>18919</v>
      </c>
      <c r="AC46">
        <v>1445</v>
      </c>
      <c r="AD46">
        <f t="shared" si="71"/>
        <v>20806.5</v>
      </c>
      <c r="AE46">
        <v>1545</v>
      </c>
      <c r="AF46">
        <f t="shared" si="72"/>
        <v>22709.5</v>
      </c>
      <c r="AG46">
        <v>1645</v>
      </c>
      <c r="AH46">
        <f t="shared" si="73"/>
        <v>24621</v>
      </c>
      <c r="AI46">
        <v>1745</v>
      </c>
      <c r="AJ46">
        <f t="shared" si="74"/>
        <v>26534.5</v>
      </c>
    </row>
    <row r="47" spans="1:36" x14ac:dyDescent="0.3">
      <c r="A47">
        <v>46</v>
      </c>
      <c r="C47">
        <v>146</v>
      </c>
      <c r="E47">
        <v>246</v>
      </c>
      <c r="G47">
        <v>346</v>
      </c>
      <c r="H47">
        <f t="shared" si="61"/>
        <v>2751.6</v>
      </c>
      <c r="I47">
        <v>446</v>
      </c>
      <c r="K47">
        <v>546</v>
      </c>
      <c r="L47">
        <f t="shared" si="62"/>
        <v>5347.6</v>
      </c>
      <c r="M47">
        <v>646</v>
      </c>
      <c r="N47">
        <f t="shared" si="63"/>
        <v>6812.6</v>
      </c>
      <c r="O47">
        <v>746</v>
      </c>
      <c r="P47">
        <f t="shared" si="64"/>
        <v>8366.4</v>
      </c>
      <c r="Q47">
        <v>846</v>
      </c>
      <c r="R47">
        <f t="shared" si="65"/>
        <v>9996.6</v>
      </c>
      <c r="S47">
        <v>946</v>
      </c>
      <c r="T47">
        <f t="shared" si="66"/>
        <v>11691.8</v>
      </c>
      <c r="U47">
        <v>1046</v>
      </c>
      <c r="V47">
        <f t="shared" si="67"/>
        <v>13442.2</v>
      </c>
      <c r="W47">
        <v>1146</v>
      </c>
      <c r="X47">
        <f t="shared" si="68"/>
        <v>15238.6</v>
      </c>
      <c r="Y47">
        <v>1246</v>
      </c>
      <c r="Z47">
        <f t="shared" si="69"/>
        <v>17073</v>
      </c>
      <c r="AA47">
        <v>1346</v>
      </c>
      <c r="AB47">
        <f>18825+((19013-18825)/10)*(AA47-1340)</f>
        <v>18937.8</v>
      </c>
      <c r="AC47">
        <v>1446</v>
      </c>
      <c r="AD47">
        <f t="shared" si="71"/>
        <v>20825.400000000001</v>
      </c>
      <c r="AE47">
        <v>1546</v>
      </c>
      <c r="AF47">
        <f t="shared" si="72"/>
        <v>22728.6</v>
      </c>
      <c r="AG47">
        <v>1646</v>
      </c>
      <c r="AH47">
        <f t="shared" si="73"/>
        <v>24640.2</v>
      </c>
      <c r="AI47">
        <v>1746</v>
      </c>
      <c r="AJ47">
        <f t="shared" si="74"/>
        <v>26553.599999999999</v>
      </c>
    </row>
    <row r="48" spans="1:36" x14ac:dyDescent="0.3">
      <c r="A48">
        <v>47</v>
      </c>
      <c r="C48">
        <v>147</v>
      </c>
      <c r="E48">
        <v>247</v>
      </c>
      <c r="G48">
        <v>347</v>
      </c>
      <c r="H48">
        <f t="shared" si="61"/>
        <v>2763.2</v>
      </c>
      <c r="I48">
        <v>447</v>
      </c>
      <c r="K48">
        <v>547</v>
      </c>
      <c r="L48">
        <f t="shared" si="62"/>
        <v>5361.7</v>
      </c>
      <c r="M48">
        <v>647</v>
      </c>
      <c r="N48">
        <f t="shared" si="63"/>
        <v>6827.7</v>
      </c>
      <c r="O48">
        <v>747</v>
      </c>
      <c r="P48">
        <f t="shared" si="64"/>
        <v>8382.2999999999993</v>
      </c>
      <c r="Q48">
        <v>847</v>
      </c>
      <c r="R48">
        <f t="shared" si="65"/>
        <v>10013.200000000001</v>
      </c>
      <c r="S48">
        <v>947</v>
      </c>
      <c r="T48">
        <f t="shared" si="66"/>
        <v>11709.1</v>
      </c>
      <c r="U48">
        <v>1047</v>
      </c>
      <c r="V48">
        <f t="shared" si="67"/>
        <v>13459.9</v>
      </c>
      <c r="W48">
        <v>1147</v>
      </c>
      <c r="X48">
        <f t="shared" si="68"/>
        <v>15256.7</v>
      </c>
      <c r="Y48">
        <v>1247</v>
      </c>
      <c r="Z48">
        <f t="shared" si="69"/>
        <v>17091.5</v>
      </c>
      <c r="AA48">
        <v>1347</v>
      </c>
      <c r="AB48">
        <f t="shared" si="70"/>
        <v>18956.599999999999</v>
      </c>
      <c r="AC48">
        <v>1447</v>
      </c>
      <c r="AD48">
        <f t="shared" si="71"/>
        <v>20844.3</v>
      </c>
      <c r="AE48">
        <v>1547</v>
      </c>
      <c r="AF48">
        <f t="shared" si="72"/>
        <v>22747.7</v>
      </c>
      <c r="AG48">
        <v>1647</v>
      </c>
      <c r="AH48">
        <f t="shared" si="73"/>
        <v>24659.4</v>
      </c>
      <c r="AI48">
        <v>1747</v>
      </c>
      <c r="AJ48">
        <f t="shared" si="74"/>
        <v>26572.7</v>
      </c>
    </row>
    <row r="49" spans="1:36" x14ac:dyDescent="0.3">
      <c r="A49">
        <v>48</v>
      </c>
      <c r="C49">
        <v>148</v>
      </c>
      <c r="E49">
        <v>248</v>
      </c>
      <c r="G49">
        <v>348</v>
      </c>
      <c r="H49">
        <f t="shared" si="61"/>
        <v>2774.8</v>
      </c>
      <c r="I49">
        <v>448</v>
      </c>
      <c r="K49">
        <v>548</v>
      </c>
      <c r="L49">
        <f t="shared" si="62"/>
        <v>5375.8</v>
      </c>
      <c r="M49">
        <v>648</v>
      </c>
      <c r="N49">
        <f t="shared" ref="N49" si="75">12281+((12281-12107)/10)*(M49-970)</f>
        <v>6678.2000000000007</v>
      </c>
      <c r="O49">
        <v>748</v>
      </c>
      <c r="P49">
        <f t="shared" si="64"/>
        <v>8398.2000000000007</v>
      </c>
      <c r="Q49">
        <v>848</v>
      </c>
      <c r="R49">
        <f t="shared" si="65"/>
        <v>10029.799999999999</v>
      </c>
      <c r="S49">
        <v>948</v>
      </c>
      <c r="T49">
        <f t="shared" si="66"/>
        <v>11726.4</v>
      </c>
      <c r="U49">
        <v>1048</v>
      </c>
      <c r="V49">
        <f t="shared" si="67"/>
        <v>13477.6</v>
      </c>
      <c r="W49">
        <v>1148</v>
      </c>
      <c r="X49">
        <f t="shared" si="68"/>
        <v>15274.8</v>
      </c>
      <c r="Y49">
        <v>1248</v>
      </c>
      <c r="AA49">
        <v>1348</v>
      </c>
      <c r="AB49">
        <f t="shared" si="70"/>
        <v>18975.400000000001</v>
      </c>
      <c r="AC49">
        <v>1448</v>
      </c>
      <c r="AD49">
        <f t="shared" si="71"/>
        <v>20863.2</v>
      </c>
      <c r="AE49">
        <v>1548</v>
      </c>
      <c r="AF49">
        <f t="shared" si="72"/>
        <v>22766.799999999999</v>
      </c>
      <c r="AG49">
        <v>1648</v>
      </c>
      <c r="AH49">
        <f t="shared" si="73"/>
        <v>24678.6</v>
      </c>
      <c r="AI49">
        <v>1748</v>
      </c>
      <c r="AJ49">
        <f t="shared" si="74"/>
        <v>26591.8</v>
      </c>
    </row>
    <row r="50" spans="1:36" x14ac:dyDescent="0.3">
      <c r="A50">
        <v>49</v>
      </c>
      <c r="C50">
        <v>149</v>
      </c>
      <c r="E50">
        <v>249</v>
      </c>
      <c r="G50">
        <v>349</v>
      </c>
      <c r="H50">
        <f t="shared" si="61"/>
        <v>2786.4</v>
      </c>
      <c r="I50">
        <v>449</v>
      </c>
      <c r="K50">
        <v>549</v>
      </c>
      <c r="L50">
        <f t="shared" si="62"/>
        <v>5389.9</v>
      </c>
      <c r="M50">
        <v>649</v>
      </c>
      <c r="N50">
        <f t="shared" si="63"/>
        <v>6857.9</v>
      </c>
      <c r="O50">
        <v>749</v>
      </c>
      <c r="P50">
        <f t="shared" si="64"/>
        <v>8414.1</v>
      </c>
      <c r="Q50">
        <v>849</v>
      </c>
      <c r="R50">
        <f t="shared" si="65"/>
        <v>10046.4</v>
      </c>
      <c r="S50">
        <v>949</v>
      </c>
      <c r="T50">
        <f t="shared" si="66"/>
        <v>11743.7</v>
      </c>
      <c r="U50">
        <v>1049</v>
      </c>
      <c r="V50">
        <f t="shared" si="67"/>
        <v>13495.3</v>
      </c>
      <c r="W50">
        <v>1149</v>
      </c>
      <c r="X50">
        <f t="shared" si="68"/>
        <v>15292.9</v>
      </c>
      <c r="Y50">
        <v>1249</v>
      </c>
      <c r="Z50">
        <f t="shared" si="69"/>
        <v>17128.5</v>
      </c>
      <c r="AA50">
        <v>1349</v>
      </c>
      <c r="AB50">
        <f t="shared" si="70"/>
        <v>18994.2</v>
      </c>
      <c r="AC50">
        <v>1449</v>
      </c>
      <c r="AD50">
        <f t="shared" si="71"/>
        <v>20882.099999999999</v>
      </c>
      <c r="AE50">
        <v>1549</v>
      </c>
      <c r="AF50">
        <f t="shared" si="72"/>
        <v>22785.9</v>
      </c>
      <c r="AG50">
        <v>1649</v>
      </c>
      <c r="AH50">
        <f t="shared" si="73"/>
        <v>24697.8</v>
      </c>
      <c r="AI50">
        <v>1749</v>
      </c>
      <c r="AJ50">
        <f t="shared" si="74"/>
        <v>26610.9</v>
      </c>
    </row>
    <row r="51" spans="1:36" x14ac:dyDescent="0.3">
      <c r="A51">
        <v>50</v>
      </c>
      <c r="B51">
        <v>155</v>
      </c>
      <c r="C51">
        <v>150</v>
      </c>
      <c r="D51">
        <v>800</v>
      </c>
      <c r="E51">
        <v>250</v>
      </c>
      <c r="F51">
        <v>1705</v>
      </c>
      <c r="G51">
        <v>350</v>
      </c>
      <c r="H51">
        <v>2798</v>
      </c>
      <c r="I51">
        <v>450</v>
      </c>
      <c r="J51">
        <v>4040</v>
      </c>
      <c r="K51">
        <v>550</v>
      </c>
      <c r="L51">
        <v>5404</v>
      </c>
      <c r="M51">
        <v>650</v>
      </c>
      <c r="N51">
        <v>6873</v>
      </c>
      <c r="O51">
        <v>750</v>
      </c>
      <c r="P51">
        <v>8430</v>
      </c>
      <c r="Q51">
        <v>850</v>
      </c>
      <c r="R51">
        <v>10063</v>
      </c>
      <c r="S51">
        <v>950</v>
      </c>
      <c r="T51">
        <v>11761</v>
      </c>
      <c r="U51">
        <v>1050</v>
      </c>
      <c r="V51">
        <v>13513</v>
      </c>
      <c r="W51">
        <v>1150</v>
      </c>
      <c r="X51">
        <v>15311</v>
      </c>
      <c r="Y51">
        <v>1250</v>
      </c>
      <c r="Z51">
        <v>17147</v>
      </c>
      <c r="AA51">
        <v>1350</v>
      </c>
      <c r="AB51">
        <v>19013</v>
      </c>
      <c r="AC51">
        <v>1450</v>
      </c>
      <c r="AD51">
        <v>20901</v>
      </c>
      <c r="AE51">
        <v>1550</v>
      </c>
      <c r="AF51">
        <v>22805</v>
      </c>
      <c r="AG51">
        <v>1650</v>
      </c>
      <c r="AH51">
        <v>24717</v>
      </c>
      <c r="AI51">
        <v>1750</v>
      </c>
      <c r="AJ51">
        <v>26630</v>
      </c>
    </row>
    <row r="52" spans="1:36" x14ac:dyDescent="0.3">
      <c r="A52">
        <v>51</v>
      </c>
      <c r="C52">
        <v>151</v>
      </c>
      <c r="D52">
        <f>800+((881-800)/10)*(C52-150)</f>
        <v>808.1</v>
      </c>
      <c r="E52">
        <v>251</v>
      </c>
      <c r="G52">
        <v>351</v>
      </c>
      <c r="I52">
        <v>451</v>
      </c>
      <c r="K52">
        <v>551</v>
      </c>
      <c r="L52">
        <f>5404+((5547-5404)/10)*(K52-550)</f>
        <v>5418.3</v>
      </c>
      <c r="M52">
        <v>651</v>
      </c>
      <c r="N52">
        <f>6873+((7025-6873)/10)*(M52-650)</f>
        <v>6888.2</v>
      </c>
      <c r="O52">
        <v>751</v>
      </c>
      <c r="P52">
        <f>8430+((8590-8430)/10)*(O52-750)</f>
        <v>8446</v>
      </c>
      <c r="Q52">
        <v>851</v>
      </c>
      <c r="R52">
        <f>10063+((10230-10063)/10)*(Q52-850)</f>
        <v>10079.700000000001</v>
      </c>
      <c r="S52">
        <v>951</v>
      </c>
      <c r="U52">
        <v>1051</v>
      </c>
      <c r="V52">
        <f>13513+((13691-13513)/10)*(U52-1050)</f>
        <v>13530.8</v>
      </c>
      <c r="W52">
        <v>1151</v>
      </c>
      <c r="X52">
        <f>15331+((15493-15331)/10)*(W52-1150)</f>
        <v>15347.2</v>
      </c>
      <c r="Y52">
        <v>1251</v>
      </c>
      <c r="Z52">
        <f>17147+((17333-17147)/10)*(Y52-1250)</f>
        <v>17165.599999999999</v>
      </c>
      <c r="AA52">
        <v>1351</v>
      </c>
      <c r="AB52">
        <f>19013+((19201-19013)/10)*(AA52-1350)</f>
        <v>19031.8</v>
      </c>
      <c r="AC52">
        <v>1451</v>
      </c>
      <c r="AD52">
        <f>20901+((21091-20901)/10)*(AC52-1450)</f>
        <v>20920</v>
      </c>
      <c r="AE52">
        <v>1551</v>
      </c>
      <c r="AF52">
        <f>22805+((22805-22996)/10)*(AE52-1550)</f>
        <v>22785.9</v>
      </c>
      <c r="AG52">
        <v>1651</v>
      </c>
      <c r="AH52">
        <f>24717+((25908-24717)/10)*(AG52-1650)</f>
        <v>24836.1</v>
      </c>
      <c r="AI52">
        <v>1751</v>
      </c>
      <c r="AJ52">
        <f>26630+((26821-26630)/10)*(AI52-1750)</f>
        <v>26649.1</v>
      </c>
    </row>
    <row r="53" spans="1:36" x14ac:dyDescent="0.3">
      <c r="A53">
        <v>52</v>
      </c>
      <c r="C53">
        <v>152</v>
      </c>
      <c r="D53">
        <f t="shared" ref="D53:D60" si="76">800+((881-800)/10)*(C53-150)</f>
        <v>816.2</v>
      </c>
      <c r="E53">
        <v>252</v>
      </c>
      <c r="G53">
        <v>352</v>
      </c>
      <c r="I53">
        <v>452</v>
      </c>
      <c r="K53">
        <v>552</v>
      </c>
      <c r="L53">
        <f t="shared" ref="L53:L60" si="77">5404+((5547-5404)/10)*(K53-550)</f>
        <v>5432.6</v>
      </c>
      <c r="M53">
        <v>652</v>
      </c>
      <c r="N53">
        <f t="shared" ref="N53:N60" si="78">6873+((7025-6873)/10)*(M53-650)</f>
        <v>6903.4</v>
      </c>
      <c r="O53">
        <v>752</v>
      </c>
      <c r="P53">
        <f t="shared" ref="P53:P60" si="79">8430+((8590-8430)/10)*(O53-750)</f>
        <v>8462</v>
      </c>
      <c r="Q53">
        <v>852</v>
      </c>
      <c r="R53">
        <f t="shared" ref="R53:R60" si="80">10063+((10230-10063)/10)*(Q53-850)</f>
        <v>10096.4</v>
      </c>
      <c r="S53">
        <v>952</v>
      </c>
      <c r="U53">
        <v>1052</v>
      </c>
      <c r="V53">
        <f t="shared" ref="V53:V60" si="81">13513+((13691-13513)/10)*(U53-1050)</f>
        <v>13548.6</v>
      </c>
      <c r="W53">
        <v>1152</v>
      </c>
      <c r="X53">
        <f t="shared" ref="X53:X60" si="82">15331+((15493-15331)/10)*(W53-1150)</f>
        <v>15363.4</v>
      </c>
      <c r="Y53">
        <v>1252</v>
      </c>
      <c r="Z53">
        <f t="shared" ref="Z53:Z60" si="83">17147+((17333-17147)/10)*(Y53-1250)</f>
        <v>17184.2</v>
      </c>
      <c r="AA53">
        <v>1352</v>
      </c>
      <c r="AB53">
        <f t="shared" ref="AB53:AB60" si="84">19013+((19201-19013)/10)*(AA53-1350)</f>
        <v>19050.599999999999</v>
      </c>
      <c r="AC53">
        <v>1452</v>
      </c>
      <c r="AD53">
        <f t="shared" ref="AD53:AD60" si="85">20901+((21091-20901)/10)*(AC53-1450)</f>
        <v>20939</v>
      </c>
      <c r="AE53">
        <v>1552</v>
      </c>
      <c r="AF53">
        <f t="shared" ref="AF53:AF60" si="86">22805+((22805-22996)/10)*(AE53-1550)</f>
        <v>22766.799999999999</v>
      </c>
      <c r="AG53">
        <v>1652</v>
      </c>
      <c r="AH53">
        <f t="shared" ref="AH53:AH60" si="87">24717+((25908-24717)/10)*(AG53-1650)</f>
        <v>24955.200000000001</v>
      </c>
      <c r="AI53">
        <v>1752</v>
      </c>
      <c r="AJ53">
        <f t="shared" ref="AJ53:AJ60" si="88">26630+((26821-26630)/10)*(AI53-1750)</f>
        <v>26668.2</v>
      </c>
    </row>
    <row r="54" spans="1:36" x14ac:dyDescent="0.3">
      <c r="A54">
        <v>53</v>
      </c>
      <c r="C54">
        <v>153</v>
      </c>
      <c r="D54">
        <f t="shared" si="76"/>
        <v>824.3</v>
      </c>
      <c r="E54">
        <v>253</v>
      </c>
      <c r="G54">
        <v>353</v>
      </c>
      <c r="I54">
        <v>453</v>
      </c>
      <c r="K54">
        <v>553</v>
      </c>
      <c r="L54">
        <f t="shared" si="77"/>
        <v>5446.9</v>
      </c>
      <c r="M54">
        <v>653</v>
      </c>
      <c r="N54">
        <f t="shared" si="78"/>
        <v>6918.6</v>
      </c>
      <c r="O54">
        <v>753</v>
      </c>
      <c r="P54">
        <f t="shared" si="79"/>
        <v>8478</v>
      </c>
      <c r="Q54">
        <v>853</v>
      </c>
      <c r="R54">
        <f t="shared" si="80"/>
        <v>10113.1</v>
      </c>
      <c r="S54">
        <v>953</v>
      </c>
      <c r="U54">
        <v>1053</v>
      </c>
      <c r="V54">
        <f t="shared" si="81"/>
        <v>13566.4</v>
      </c>
      <c r="W54">
        <v>1153</v>
      </c>
      <c r="X54">
        <f t="shared" si="82"/>
        <v>15379.6</v>
      </c>
      <c r="Y54">
        <v>1253</v>
      </c>
      <c r="Z54">
        <f t="shared" si="83"/>
        <v>17202.8</v>
      </c>
      <c r="AA54">
        <v>1353</v>
      </c>
      <c r="AB54">
        <f t="shared" si="84"/>
        <v>19069.400000000001</v>
      </c>
      <c r="AC54">
        <v>1453</v>
      </c>
      <c r="AD54">
        <f t="shared" si="85"/>
        <v>20958</v>
      </c>
      <c r="AE54">
        <v>1553</v>
      </c>
      <c r="AF54">
        <f t="shared" si="86"/>
        <v>22747.7</v>
      </c>
      <c r="AG54">
        <v>1653</v>
      </c>
      <c r="AH54">
        <f t="shared" si="87"/>
        <v>25074.3</v>
      </c>
      <c r="AI54">
        <v>1753</v>
      </c>
      <c r="AJ54">
        <f t="shared" si="88"/>
        <v>26687.3</v>
      </c>
    </row>
    <row r="55" spans="1:36" x14ac:dyDescent="0.3">
      <c r="A55">
        <v>54</v>
      </c>
      <c r="C55">
        <v>154</v>
      </c>
      <c r="D55">
        <f t="shared" si="76"/>
        <v>832.4</v>
      </c>
      <c r="E55">
        <v>254</v>
      </c>
      <c r="G55">
        <v>354</v>
      </c>
      <c r="I55">
        <v>454</v>
      </c>
      <c r="K55">
        <v>554</v>
      </c>
      <c r="L55">
        <f t="shared" si="77"/>
        <v>5461.2</v>
      </c>
      <c r="M55">
        <v>654</v>
      </c>
      <c r="N55">
        <f t="shared" si="78"/>
        <v>6933.8</v>
      </c>
      <c r="O55">
        <v>754</v>
      </c>
      <c r="P55">
        <f t="shared" si="79"/>
        <v>8494</v>
      </c>
      <c r="Q55">
        <v>854</v>
      </c>
      <c r="R55">
        <f t="shared" si="80"/>
        <v>10129.799999999999</v>
      </c>
      <c r="S55">
        <v>954</v>
      </c>
      <c r="U55">
        <v>1054</v>
      </c>
      <c r="V55">
        <f t="shared" si="81"/>
        <v>13584.2</v>
      </c>
      <c r="W55">
        <v>1154</v>
      </c>
      <c r="X55">
        <f t="shared" si="82"/>
        <v>15395.8</v>
      </c>
      <c r="Y55">
        <v>1254</v>
      </c>
      <c r="Z55">
        <f t="shared" si="83"/>
        <v>17221.400000000001</v>
      </c>
      <c r="AA55">
        <v>1354</v>
      </c>
      <c r="AB55">
        <f t="shared" si="84"/>
        <v>19088.2</v>
      </c>
      <c r="AC55">
        <v>1454</v>
      </c>
      <c r="AD55">
        <f t="shared" si="85"/>
        <v>20977</v>
      </c>
      <c r="AE55">
        <v>1554</v>
      </c>
      <c r="AF55">
        <f t="shared" si="86"/>
        <v>22728.6</v>
      </c>
      <c r="AG55">
        <v>1654</v>
      </c>
      <c r="AH55">
        <f t="shared" si="87"/>
        <v>25193.4</v>
      </c>
      <c r="AI55">
        <v>1754</v>
      </c>
      <c r="AJ55">
        <f t="shared" si="88"/>
        <v>26706.400000000001</v>
      </c>
    </row>
    <row r="56" spans="1:36" x14ac:dyDescent="0.3">
      <c r="A56">
        <v>55</v>
      </c>
      <c r="C56">
        <v>155</v>
      </c>
      <c r="D56">
        <f t="shared" si="76"/>
        <v>840.5</v>
      </c>
      <c r="E56">
        <v>255</v>
      </c>
      <c r="G56">
        <v>355</v>
      </c>
      <c r="I56">
        <v>455</v>
      </c>
      <c r="K56">
        <v>555</v>
      </c>
      <c r="L56">
        <f t="shared" si="77"/>
        <v>5475.5</v>
      </c>
      <c r="M56">
        <v>655</v>
      </c>
      <c r="N56">
        <f t="shared" si="78"/>
        <v>6949</v>
      </c>
      <c r="O56">
        <v>755</v>
      </c>
      <c r="P56">
        <f t="shared" si="79"/>
        <v>8510</v>
      </c>
      <c r="Q56">
        <v>855</v>
      </c>
      <c r="R56">
        <f t="shared" si="80"/>
        <v>10146.5</v>
      </c>
      <c r="S56">
        <v>955</v>
      </c>
      <c r="U56">
        <v>1055</v>
      </c>
      <c r="V56">
        <f t="shared" si="81"/>
        <v>13602</v>
      </c>
      <c r="W56">
        <v>1155</v>
      </c>
      <c r="X56">
        <f t="shared" si="82"/>
        <v>15412</v>
      </c>
      <c r="Y56">
        <v>1255</v>
      </c>
      <c r="Z56">
        <f t="shared" si="83"/>
        <v>17240</v>
      </c>
      <c r="AA56">
        <v>1355</v>
      </c>
      <c r="AB56">
        <f t="shared" si="84"/>
        <v>19107</v>
      </c>
      <c r="AC56">
        <v>1455</v>
      </c>
      <c r="AD56">
        <f t="shared" si="85"/>
        <v>20996</v>
      </c>
      <c r="AE56">
        <v>1555</v>
      </c>
      <c r="AF56">
        <f t="shared" si="86"/>
        <v>22709.5</v>
      </c>
      <c r="AG56">
        <v>1655</v>
      </c>
      <c r="AH56">
        <f t="shared" si="87"/>
        <v>25312.5</v>
      </c>
      <c r="AI56">
        <v>1755</v>
      </c>
      <c r="AJ56">
        <f t="shared" si="88"/>
        <v>26725.5</v>
      </c>
    </row>
    <row r="57" spans="1:36" x14ac:dyDescent="0.3">
      <c r="A57">
        <v>56</v>
      </c>
      <c r="C57">
        <v>156</v>
      </c>
      <c r="D57">
        <f t="shared" si="76"/>
        <v>848.6</v>
      </c>
      <c r="E57">
        <v>256</v>
      </c>
      <c r="G57">
        <v>356</v>
      </c>
      <c r="I57">
        <v>456</v>
      </c>
      <c r="K57">
        <v>556</v>
      </c>
      <c r="L57">
        <f t="shared" si="77"/>
        <v>5489.8</v>
      </c>
      <c r="M57">
        <v>656</v>
      </c>
      <c r="N57">
        <f t="shared" si="78"/>
        <v>6964.2</v>
      </c>
      <c r="O57">
        <v>756</v>
      </c>
      <c r="P57">
        <f t="shared" si="79"/>
        <v>8526</v>
      </c>
      <c r="Q57">
        <v>856</v>
      </c>
      <c r="R57">
        <f t="shared" si="80"/>
        <v>10163.200000000001</v>
      </c>
      <c r="S57">
        <v>956</v>
      </c>
      <c r="U57">
        <v>1056</v>
      </c>
      <c r="V57">
        <f t="shared" si="81"/>
        <v>13619.8</v>
      </c>
      <c r="W57">
        <v>1156</v>
      </c>
      <c r="X57">
        <f t="shared" si="82"/>
        <v>15428.2</v>
      </c>
      <c r="Y57">
        <v>1256</v>
      </c>
      <c r="Z57">
        <f t="shared" si="83"/>
        <v>17258.599999999999</v>
      </c>
      <c r="AA57">
        <v>1356</v>
      </c>
      <c r="AB57">
        <f t="shared" si="84"/>
        <v>19125.8</v>
      </c>
      <c r="AC57">
        <v>1456</v>
      </c>
      <c r="AD57">
        <f t="shared" si="85"/>
        <v>21015</v>
      </c>
      <c r="AE57">
        <v>1556</v>
      </c>
      <c r="AF57">
        <f t="shared" si="86"/>
        <v>22690.400000000001</v>
      </c>
      <c r="AG57">
        <v>1656</v>
      </c>
      <c r="AH57">
        <f t="shared" si="87"/>
        <v>25431.599999999999</v>
      </c>
      <c r="AI57">
        <v>1756</v>
      </c>
      <c r="AJ57">
        <f t="shared" si="88"/>
        <v>26744.6</v>
      </c>
    </row>
    <row r="58" spans="1:36" x14ac:dyDescent="0.3">
      <c r="A58">
        <v>57</v>
      </c>
      <c r="C58">
        <v>157</v>
      </c>
      <c r="D58">
        <f t="shared" si="76"/>
        <v>856.7</v>
      </c>
      <c r="E58">
        <v>257</v>
      </c>
      <c r="G58">
        <v>357</v>
      </c>
      <c r="I58">
        <v>457</v>
      </c>
      <c r="K58">
        <v>557</v>
      </c>
      <c r="L58">
        <f t="shared" si="77"/>
        <v>5504.1</v>
      </c>
      <c r="M58">
        <v>657</v>
      </c>
      <c r="N58">
        <f t="shared" si="78"/>
        <v>6979.4</v>
      </c>
      <c r="O58">
        <v>757</v>
      </c>
      <c r="P58">
        <f t="shared" si="79"/>
        <v>8542</v>
      </c>
      <c r="Q58">
        <v>857</v>
      </c>
      <c r="R58">
        <f t="shared" si="80"/>
        <v>10179.9</v>
      </c>
      <c r="S58">
        <v>957</v>
      </c>
      <c r="U58">
        <v>1057</v>
      </c>
      <c r="V58">
        <f t="shared" si="81"/>
        <v>13637.6</v>
      </c>
      <c r="W58">
        <v>1157</v>
      </c>
      <c r="X58">
        <f t="shared" si="82"/>
        <v>15444.4</v>
      </c>
      <c r="Y58">
        <v>1257</v>
      </c>
      <c r="Z58">
        <f t="shared" si="83"/>
        <v>17277.2</v>
      </c>
      <c r="AA58">
        <v>1357</v>
      </c>
      <c r="AB58">
        <f t="shared" si="84"/>
        <v>19144.599999999999</v>
      </c>
      <c r="AC58">
        <v>1457</v>
      </c>
      <c r="AD58">
        <f t="shared" si="85"/>
        <v>21034</v>
      </c>
      <c r="AE58">
        <v>1557</v>
      </c>
      <c r="AF58">
        <f t="shared" si="86"/>
        <v>22671.3</v>
      </c>
      <c r="AG58">
        <v>1657</v>
      </c>
      <c r="AH58">
        <f t="shared" si="87"/>
        <v>25550.7</v>
      </c>
      <c r="AI58">
        <v>1757</v>
      </c>
      <c r="AJ58">
        <f t="shared" si="88"/>
        <v>26763.7</v>
      </c>
    </row>
    <row r="59" spans="1:36" x14ac:dyDescent="0.3">
      <c r="A59">
        <v>58</v>
      </c>
      <c r="C59">
        <v>158</v>
      </c>
      <c r="D59">
        <f t="shared" si="76"/>
        <v>864.8</v>
      </c>
      <c r="E59">
        <v>258</v>
      </c>
      <c r="G59">
        <v>358</v>
      </c>
      <c r="I59">
        <v>458</v>
      </c>
      <c r="K59">
        <v>558</v>
      </c>
      <c r="L59">
        <f t="shared" si="77"/>
        <v>5518.4</v>
      </c>
      <c r="M59">
        <v>658</v>
      </c>
      <c r="N59">
        <f t="shared" si="78"/>
        <v>6994.6</v>
      </c>
      <c r="O59">
        <v>758</v>
      </c>
      <c r="P59">
        <f t="shared" si="79"/>
        <v>8558</v>
      </c>
      <c r="Q59">
        <v>858</v>
      </c>
      <c r="R59">
        <f t="shared" si="80"/>
        <v>10196.6</v>
      </c>
      <c r="S59">
        <v>958</v>
      </c>
      <c r="U59">
        <v>1058</v>
      </c>
      <c r="V59">
        <f t="shared" si="81"/>
        <v>13655.4</v>
      </c>
      <c r="W59">
        <v>1158</v>
      </c>
      <c r="X59">
        <f t="shared" si="82"/>
        <v>15460.6</v>
      </c>
      <c r="Y59">
        <v>1258</v>
      </c>
      <c r="Z59">
        <f t="shared" si="83"/>
        <v>17295.8</v>
      </c>
      <c r="AA59">
        <v>1358</v>
      </c>
      <c r="AB59">
        <f t="shared" si="84"/>
        <v>19163.400000000001</v>
      </c>
      <c r="AC59">
        <v>1458</v>
      </c>
      <c r="AD59">
        <f t="shared" si="85"/>
        <v>21053</v>
      </c>
      <c r="AE59">
        <v>1558</v>
      </c>
      <c r="AF59">
        <f t="shared" si="86"/>
        <v>22652.2</v>
      </c>
      <c r="AG59">
        <v>1658</v>
      </c>
      <c r="AH59">
        <f t="shared" si="87"/>
        <v>25669.8</v>
      </c>
      <c r="AI59">
        <v>1758</v>
      </c>
      <c r="AJ59">
        <f t="shared" si="88"/>
        <v>26782.799999999999</v>
      </c>
    </row>
    <row r="60" spans="1:36" x14ac:dyDescent="0.3">
      <c r="A60">
        <v>59</v>
      </c>
      <c r="C60">
        <v>159</v>
      </c>
      <c r="D60">
        <f t="shared" si="76"/>
        <v>872.9</v>
      </c>
      <c r="E60">
        <v>259</v>
      </c>
      <c r="G60">
        <v>359</v>
      </c>
      <c r="I60">
        <v>459</v>
      </c>
      <c r="K60">
        <v>559</v>
      </c>
      <c r="L60">
        <f t="shared" si="77"/>
        <v>5532.7</v>
      </c>
      <c r="M60">
        <v>659</v>
      </c>
      <c r="N60">
        <f t="shared" si="78"/>
        <v>7009.8</v>
      </c>
      <c r="O60">
        <v>759</v>
      </c>
      <c r="P60">
        <f t="shared" si="79"/>
        <v>8574</v>
      </c>
      <c r="Q60">
        <v>859</v>
      </c>
      <c r="R60">
        <f t="shared" si="80"/>
        <v>10213.299999999999</v>
      </c>
      <c r="S60">
        <v>959</v>
      </c>
      <c r="U60">
        <v>1059</v>
      </c>
      <c r="V60">
        <f t="shared" si="81"/>
        <v>13673.2</v>
      </c>
      <c r="W60">
        <v>1159</v>
      </c>
      <c r="X60">
        <f t="shared" si="82"/>
        <v>15476.8</v>
      </c>
      <c r="Y60">
        <v>1259</v>
      </c>
      <c r="Z60">
        <f t="shared" si="83"/>
        <v>17314.400000000001</v>
      </c>
      <c r="AA60">
        <v>1359</v>
      </c>
      <c r="AB60">
        <f t="shared" si="84"/>
        <v>19182.2</v>
      </c>
      <c r="AC60">
        <v>1459</v>
      </c>
      <c r="AD60">
        <f t="shared" si="85"/>
        <v>21072</v>
      </c>
      <c r="AE60">
        <v>1559</v>
      </c>
      <c r="AF60">
        <f t="shared" si="86"/>
        <v>22633.1</v>
      </c>
      <c r="AG60">
        <v>1659</v>
      </c>
      <c r="AH60">
        <f t="shared" si="87"/>
        <v>25788.9</v>
      </c>
      <c r="AI60">
        <v>1759</v>
      </c>
      <c r="AJ60">
        <f t="shared" si="88"/>
        <v>26801.9</v>
      </c>
    </row>
    <row r="61" spans="1:36" x14ac:dyDescent="0.3">
      <c r="A61">
        <v>60</v>
      </c>
      <c r="B61">
        <v>204</v>
      </c>
      <c r="C61">
        <v>160</v>
      </c>
      <c r="D61">
        <v>881</v>
      </c>
      <c r="E61">
        <v>260</v>
      </c>
      <c r="F61">
        <v>1807</v>
      </c>
      <c r="G61">
        <v>360</v>
      </c>
      <c r="H61">
        <v>2916</v>
      </c>
      <c r="I61">
        <v>460</v>
      </c>
      <c r="J61">
        <v>4171</v>
      </c>
      <c r="K61">
        <v>560</v>
      </c>
      <c r="L61">
        <v>5547</v>
      </c>
      <c r="M61">
        <v>660</v>
      </c>
      <c r="N61">
        <v>7025</v>
      </c>
      <c r="O61">
        <v>760</v>
      </c>
      <c r="P61">
        <v>8590</v>
      </c>
      <c r="Q61">
        <v>860</v>
      </c>
      <c r="R61">
        <v>10230</v>
      </c>
      <c r="S61">
        <v>960</v>
      </c>
      <c r="T61">
        <v>11933</v>
      </c>
      <c r="U61">
        <v>1060</v>
      </c>
      <c r="V61">
        <v>13691</v>
      </c>
      <c r="W61">
        <v>1160</v>
      </c>
      <c r="X61">
        <v>15493</v>
      </c>
      <c r="Y61">
        <v>1260</v>
      </c>
      <c r="Z61">
        <v>17333</v>
      </c>
      <c r="AA61">
        <v>1360</v>
      </c>
      <c r="AB61">
        <v>19201</v>
      </c>
      <c r="AC61">
        <v>1460</v>
      </c>
      <c r="AD61">
        <v>21091</v>
      </c>
      <c r="AE61">
        <v>1560</v>
      </c>
      <c r="AF61">
        <v>22996</v>
      </c>
      <c r="AG61">
        <v>1660</v>
      </c>
      <c r="AH61">
        <v>24908</v>
      </c>
      <c r="AI61">
        <v>1760</v>
      </c>
      <c r="AJ61">
        <v>26821</v>
      </c>
    </row>
    <row r="62" spans="1:36" x14ac:dyDescent="0.3">
      <c r="A62">
        <v>61</v>
      </c>
      <c r="C62">
        <v>161</v>
      </c>
      <c r="D62">
        <f>881+((963-881)/10)*(C62-160)</f>
        <v>889.2</v>
      </c>
      <c r="E62">
        <v>261</v>
      </c>
      <c r="G62">
        <v>361</v>
      </c>
      <c r="I62">
        <v>461</v>
      </c>
      <c r="J62">
        <f>4171+((4303-4171)/10)*(I62-460)</f>
        <v>4184.2</v>
      </c>
      <c r="K62">
        <v>561</v>
      </c>
      <c r="M62">
        <v>661</v>
      </c>
      <c r="N62">
        <f>7025+((7178-7025)/10)*(M62-660)</f>
        <v>7040.3</v>
      </c>
      <c r="O62">
        <v>761</v>
      </c>
      <c r="P62">
        <f>8590+((8751-8590)/10)*(O62-760)</f>
        <v>8606.1</v>
      </c>
      <c r="Q62">
        <v>861</v>
      </c>
      <c r="R62">
        <f>10230+((10398-10230)/10)*(Q62-860)</f>
        <v>10246.799999999999</v>
      </c>
      <c r="S62">
        <v>961</v>
      </c>
      <c r="T62">
        <f>11933+((12107-11933)/10)*(S62-960)</f>
        <v>11950.4</v>
      </c>
      <c r="U62">
        <v>1061</v>
      </c>
      <c r="V62">
        <f t="shared" ref="V62:V70" si="89">13691+((13879-13691)/10)*(U62-1060)</f>
        <v>13709.8</v>
      </c>
      <c r="W62">
        <v>1161</v>
      </c>
      <c r="X62">
        <f>15493+((15676-15493)/10)*(W62-1160)</f>
        <v>15511.3</v>
      </c>
      <c r="Y62">
        <v>1261</v>
      </c>
      <c r="Z62">
        <f>17333+((17518-17333)/10)*(Y62-1260)</f>
        <v>17351.5</v>
      </c>
      <c r="AA62">
        <v>1361</v>
      </c>
      <c r="AB62">
        <f>19201+((19389-19201)/10)*(AA62-1360)</f>
        <v>19219.8</v>
      </c>
      <c r="AC62">
        <v>1461</v>
      </c>
      <c r="AD62">
        <f>21091+((21281-21091)/10)*(AC62-1460)</f>
        <v>21110</v>
      </c>
      <c r="AE62">
        <v>1561</v>
      </c>
      <c r="AF62">
        <f>22996+((23187-22996)/10)*(AE62-1560)</f>
        <v>23015.1</v>
      </c>
      <c r="AG62">
        <v>1661</v>
      </c>
      <c r="AH62">
        <f>24908+((25099-24908)/10)*(AG62-1660)</f>
        <v>24927.1</v>
      </c>
      <c r="AI62">
        <v>1761</v>
      </c>
      <c r="AJ62">
        <f>26821+((27012-26821)/10)*(AI62-1760)</f>
        <v>26840.1</v>
      </c>
    </row>
    <row r="63" spans="1:36" x14ac:dyDescent="0.3">
      <c r="A63">
        <v>62</v>
      </c>
      <c r="C63">
        <v>162</v>
      </c>
      <c r="D63">
        <f t="shared" ref="D63:D70" si="90">881+((963-881)/10)*(C63-160)</f>
        <v>897.4</v>
      </c>
      <c r="E63">
        <v>262</v>
      </c>
      <c r="G63">
        <v>362</v>
      </c>
      <c r="I63">
        <v>462</v>
      </c>
      <c r="J63">
        <f t="shared" ref="J63:J70" si="91">4171+((4303-4171)/10)*(I63-460)</f>
        <v>4197.3999999999996</v>
      </c>
      <c r="K63">
        <v>562</v>
      </c>
      <c r="M63">
        <v>662</v>
      </c>
      <c r="N63">
        <f t="shared" ref="N63:N70" si="92">7025+((7178-7025)/10)*(M63-660)</f>
        <v>7055.6</v>
      </c>
      <c r="O63">
        <v>762</v>
      </c>
      <c r="P63">
        <f t="shared" ref="P63:P70" si="93">8590+((8751-8590)/10)*(O63-760)</f>
        <v>8622.2000000000007</v>
      </c>
      <c r="Q63">
        <v>862</v>
      </c>
      <c r="R63">
        <f t="shared" ref="R63:R70" si="94">10230+((10398-10230)/10)*(Q63-860)</f>
        <v>10263.6</v>
      </c>
      <c r="S63">
        <v>962</v>
      </c>
      <c r="T63">
        <f t="shared" ref="T63:T70" si="95">11933+((12107-11933)/10)*(S63-960)</f>
        <v>11967.8</v>
      </c>
      <c r="U63">
        <v>1062</v>
      </c>
      <c r="V63">
        <f t="shared" si="89"/>
        <v>13728.6</v>
      </c>
      <c r="W63">
        <v>1162</v>
      </c>
      <c r="X63">
        <f t="shared" ref="X63:X70" si="96">15493+((15676-15493)/10)*(W63-1160)</f>
        <v>15529.6</v>
      </c>
      <c r="Y63">
        <v>1262</v>
      </c>
      <c r="Z63">
        <f t="shared" ref="Z63:Z70" si="97">17333+((17518-17333)/10)*(Y63-1260)</f>
        <v>17370</v>
      </c>
      <c r="AA63">
        <v>1362</v>
      </c>
      <c r="AB63">
        <f t="shared" ref="AB63:AB70" si="98">19201+((19389-19201)/10)*(AA63-1360)</f>
        <v>19238.599999999999</v>
      </c>
      <c r="AC63">
        <v>1462</v>
      </c>
      <c r="AD63">
        <f t="shared" ref="AD63:AD70" si="99">21091+((21281-21091)/10)*(AC63-1460)</f>
        <v>21129</v>
      </c>
      <c r="AE63">
        <v>1562</v>
      </c>
      <c r="AF63">
        <f t="shared" ref="AF63:AF70" si="100">22996+((23187-22996)/10)*(AE63-1560)</f>
        <v>23034.2</v>
      </c>
      <c r="AG63">
        <v>1662</v>
      </c>
      <c r="AH63">
        <f t="shared" ref="AH63:AH70" si="101">24908+((25099-24908)/10)*(AG63-1660)</f>
        <v>24946.2</v>
      </c>
      <c r="AI63">
        <v>1762</v>
      </c>
      <c r="AJ63">
        <f t="shared" ref="AJ63:AJ70" si="102">26821+((27012-26821)/10)*(AI63-1760)</f>
        <v>26859.200000000001</v>
      </c>
    </row>
    <row r="64" spans="1:36" x14ac:dyDescent="0.3">
      <c r="A64">
        <v>63</v>
      </c>
      <c r="C64">
        <v>163</v>
      </c>
      <c r="D64">
        <f t="shared" si="90"/>
        <v>905.6</v>
      </c>
      <c r="E64">
        <v>263</v>
      </c>
      <c r="G64">
        <v>363</v>
      </c>
      <c r="I64">
        <v>463</v>
      </c>
      <c r="J64">
        <f t="shared" si="91"/>
        <v>4210.6000000000004</v>
      </c>
      <c r="K64">
        <v>563</v>
      </c>
      <c r="M64">
        <v>663</v>
      </c>
      <c r="N64">
        <f t="shared" si="92"/>
        <v>7070.9</v>
      </c>
      <c r="O64">
        <v>763</v>
      </c>
      <c r="P64">
        <f t="shared" si="93"/>
        <v>8638.2999999999993</v>
      </c>
      <c r="Q64">
        <v>863</v>
      </c>
      <c r="R64">
        <f t="shared" si="94"/>
        <v>10280.4</v>
      </c>
      <c r="S64">
        <v>963</v>
      </c>
      <c r="T64">
        <f t="shared" si="95"/>
        <v>11985.2</v>
      </c>
      <c r="U64">
        <v>1063</v>
      </c>
      <c r="V64">
        <f t="shared" si="89"/>
        <v>13747.4</v>
      </c>
      <c r="W64">
        <v>1163</v>
      </c>
      <c r="X64">
        <f t="shared" si="96"/>
        <v>15547.9</v>
      </c>
      <c r="Y64">
        <v>1263</v>
      </c>
      <c r="Z64">
        <f t="shared" si="97"/>
        <v>17388.5</v>
      </c>
      <c r="AA64">
        <v>1363</v>
      </c>
      <c r="AB64">
        <f t="shared" si="98"/>
        <v>19257.400000000001</v>
      </c>
      <c r="AC64">
        <v>1463</v>
      </c>
      <c r="AD64">
        <f t="shared" si="99"/>
        <v>21148</v>
      </c>
      <c r="AE64">
        <v>1563</v>
      </c>
      <c r="AF64">
        <f t="shared" si="100"/>
        <v>23053.3</v>
      </c>
      <c r="AG64">
        <v>1663</v>
      </c>
      <c r="AH64">
        <f t="shared" si="101"/>
        <v>24965.3</v>
      </c>
      <c r="AI64">
        <v>1763</v>
      </c>
      <c r="AJ64">
        <f t="shared" si="102"/>
        <v>26878.3</v>
      </c>
    </row>
    <row r="65" spans="1:36" x14ac:dyDescent="0.3">
      <c r="A65">
        <v>64</v>
      </c>
      <c r="C65">
        <v>164</v>
      </c>
      <c r="D65">
        <f t="shared" si="90"/>
        <v>913.8</v>
      </c>
      <c r="E65">
        <v>264</v>
      </c>
      <c r="G65">
        <v>364</v>
      </c>
      <c r="I65">
        <v>464</v>
      </c>
      <c r="J65">
        <f t="shared" si="91"/>
        <v>4223.8</v>
      </c>
      <c r="K65">
        <v>564</v>
      </c>
      <c r="M65">
        <v>664</v>
      </c>
      <c r="N65">
        <f t="shared" si="92"/>
        <v>7086.2</v>
      </c>
      <c r="O65">
        <v>764</v>
      </c>
      <c r="P65">
        <f t="shared" si="93"/>
        <v>8654.4</v>
      </c>
      <c r="Q65">
        <v>864</v>
      </c>
      <c r="R65">
        <f t="shared" si="94"/>
        <v>10297.200000000001</v>
      </c>
      <c r="S65">
        <v>964</v>
      </c>
      <c r="T65">
        <f t="shared" si="95"/>
        <v>12002.6</v>
      </c>
      <c r="U65">
        <v>1064</v>
      </c>
      <c r="V65">
        <f>13691+((13879-13691)/10)*(U65-1060)</f>
        <v>13766.2</v>
      </c>
      <c r="W65">
        <v>1164</v>
      </c>
      <c r="X65">
        <f t="shared" si="96"/>
        <v>15566.2</v>
      </c>
      <c r="Y65">
        <v>1264</v>
      </c>
      <c r="Z65">
        <f t="shared" si="97"/>
        <v>17407</v>
      </c>
      <c r="AA65">
        <v>1364</v>
      </c>
      <c r="AB65">
        <f t="shared" si="98"/>
        <v>19276.2</v>
      </c>
      <c r="AC65">
        <v>1464</v>
      </c>
      <c r="AD65">
        <f t="shared" si="99"/>
        <v>21167</v>
      </c>
      <c r="AE65">
        <v>1564</v>
      </c>
      <c r="AF65">
        <f t="shared" si="100"/>
        <v>23072.400000000001</v>
      </c>
      <c r="AG65">
        <v>1664</v>
      </c>
      <c r="AH65">
        <f t="shared" si="101"/>
        <v>24984.400000000001</v>
      </c>
      <c r="AI65">
        <v>1764</v>
      </c>
      <c r="AJ65">
        <f t="shared" si="102"/>
        <v>26897.4</v>
      </c>
    </row>
    <row r="66" spans="1:36" x14ac:dyDescent="0.3">
      <c r="A66">
        <v>65</v>
      </c>
      <c r="C66">
        <v>165</v>
      </c>
      <c r="D66">
        <f t="shared" si="90"/>
        <v>922</v>
      </c>
      <c r="E66">
        <v>265</v>
      </c>
      <c r="G66">
        <v>365</v>
      </c>
      <c r="I66">
        <v>465</v>
      </c>
      <c r="J66">
        <f t="shared" si="91"/>
        <v>4237</v>
      </c>
      <c r="K66">
        <v>565</v>
      </c>
      <c r="M66">
        <v>665</v>
      </c>
      <c r="N66">
        <f t="shared" si="92"/>
        <v>7101.5</v>
      </c>
      <c r="O66">
        <v>765</v>
      </c>
      <c r="P66">
        <f t="shared" si="93"/>
        <v>8670.5</v>
      </c>
      <c r="Q66">
        <v>865</v>
      </c>
      <c r="R66">
        <f t="shared" si="94"/>
        <v>10314</v>
      </c>
      <c r="S66">
        <v>965</v>
      </c>
      <c r="T66">
        <f t="shared" si="95"/>
        <v>12020</v>
      </c>
      <c r="U66">
        <v>1065</v>
      </c>
      <c r="V66">
        <f t="shared" si="89"/>
        <v>13785</v>
      </c>
      <c r="W66">
        <v>1165</v>
      </c>
      <c r="X66">
        <f t="shared" si="96"/>
        <v>15584.5</v>
      </c>
      <c r="Y66">
        <v>1265</v>
      </c>
      <c r="Z66">
        <f t="shared" si="97"/>
        <v>17425.5</v>
      </c>
      <c r="AA66">
        <v>1365</v>
      </c>
      <c r="AB66">
        <f t="shared" si="98"/>
        <v>19295</v>
      </c>
      <c r="AC66">
        <v>1465</v>
      </c>
      <c r="AD66">
        <f t="shared" si="99"/>
        <v>21186</v>
      </c>
      <c r="AE66">
        <v>1565</v>
      </c>
      <c r="AF66">
        <f t="shared" si="100"/>
        <v>23091.5</v>
      </c>
      <c r="AG66">
        <v>1665</v>
      </c>
      <c r="AH66">
        <f t="shared" si="101"/>
        <v>25003.5</v>
      </c>
      <c r="AI66">
        <v>1765</v>
      </c>
      <c r="AJ66">
        <f t="shared" si="102"/>
        <v>26916.5</v>
      </c>
    </row>
    <row r="67" spans="1:36" x14ac:dyDescent="0.3">
      <c r="A67">
        <v>66</v>
      </c>
      <c r="C67">
        <v>166</v>
      </c>
      <c r="D67">
        <f t="shared" si="90"/>
        <v>930.2</v>
      </c>
      <c r="E67">
        <v>266</v>
      </c>
      <c r="G67">
        <v>366</v>
      </c>
      <c r="I67">
        <v>466</v>
      </c>
      <c r="J67">
        <f t="shared" si="91"/>
        <v>4250.2</v>
      </c>
      <c r="K67">
        <v>566</v>
      </c>
      <c r="M67">
        <v>666</v>
      </c>
      <c r="N67">
        <f t="shared" si="92"/>
        <v>7116.8</v>
      </c>
      <c r="O67">
        <v>766</v>
      </c>
      <c r="P67">
        <f t="shared" si="93"/>
        <v>8686.6</v>
      </c>
      <c r="Q67">
        <v>866</v>
      </c>
      <c r="R67">
        <f t="shared" si="94"/>
        <v>10330.799999999999</v>
      </c>
      <c r="S67">
        <v>966</v>
      </c>
      <c r="T67">
        <f t="shared" si="95"/>
        <v>12037.4</v>
      </c>
      <c r="U67">
        <v>1066</v>
      </c>
      <c r="V67">
        <f t="shared" si="89"/>
        <v>13803.8</v>
      </c>
      <c r="W67">
        <v>1166</v>
      </c>
      <c r="X67">
        <f t="shared" si="96"/>
        <v>15602.8</v>
      </c>
      <c r="Y67">
        <v>1266</v>
      </c>
      <c r="Z67">
        <f t="shared" si="97"/>
        <v>17444</v>
      </c>
      <c r="AA67">
        <v>1366</v>
      </c>
      <c r="AB67">
        <f t="shared" si="98"/>
        <v>19313.8</v>
      </c>
      <c r="AC67">
        <v>1466</v>
      </c>
      <c r="AD67">
        <f t="shared" si="99"/>
        <v>21205</v>
      </c>
      <c r="AE67">
        <v>1566</v>
      </c>
      <c r="AF67">
        <f t="shared" si="100"/>
        <v>23110.6</v>
      </c>
      <c r="AG67">
        <v>1666</v>
      </c>
      <c r="AH67">
        <f t="shared" si="101"/>
        <v>25022.6</v>
      </c>
      <c r="AI67">
        <v>1766</v>
      </c>
      <c r="AJ67">
        <f t="shared" si="102"/>
        <v>26935.599999999999</v>
      </c>
    </row>
    <row r="68" spans="1:36" x14ac:dyDescent="0.3">
      <c r="A68">
        <v>67</v>
      </c>
      <c r="C68">
        <v>167</v>
      </c>
      <c r="D68">
        <f t="shared" si="90"/>
        <v>938.4</v>
      </c>
      <c r="E68">
        <v>267</v>
      </c>
      <c r="G68">
        <v>367</v>
      </c>
      <c r="I68">
        <v>467</v>
      </c>
      <c r="J68">
        <f t="shared" si="91"/>
        <v>4263.3999999999996</v>
      </c>
      <c r="K68">
        <v>567</v>
      </c>
      <c r="M68">
        <v>667</v>
      </c>
      <c r="N68">
        <f t="shared" si="92"/>
        <v>7132.1</v>
      </c>
      <c r="O68">
        <v>767</v>
      </c>
      <c r="P68">
        <f t="shared" si="93"/>
        <v>8702.7000000000007</v>
      </c>
      <c r="Q68">
        <v>867</v>
      </c>
      <c r="R68">
        <f t="shared" si="94"/>
        <v>10347.6</v>
      </c>
      <c r="S68">
        <v>967</v>
      </c>
      <c r="T68">
        <f t="shared" si="95"/>
        <v>12054.8</v>
      </c>
      <c r="U68">
        <v>1067</v>
      </c>
      <c r="V68">
        <f t="shared" si="89"/>
        <v>13822.6</v>
      </c>
      <c r="W68">
        <v>1167</v>
      </c>
      <c r="X68">
        <f t="shared" si="96"/>
        <v>15621.1</v>
      </c>
      <c r="Y68">
        <v>1267</v>
      </c>
      <c r="Z68">
        <f t="shared" si="97"/>
        <v>17462.5</v>
      </c>
      <c r="AA68">
        <v>1367</v>
      </c>
      <c r="AB68">
        <f t="shared" si="98"/>
        <v>19332.599999999999</v>
      </c>
      <c r="AC68">
        <v>1467</v>
      </c>
      <c r="AD68">
        <f t="shared" si="99"/>
        <v>21224</v>
      </c>
      <c r="AE68">
        <v>1567</v>
      </c>
      <c r="AF68">
        <f t="shared" si="100"/>
        <v>23129.7</v>
      </c>
      <c r="AG68">
        <v>1667</v>
      </c>
      <c r="AH68">
        <f t="shared" si="101"/>
        <v>25041.7</v>
      </c>
      <c r="AI68">
        <v>1767</v>
      </c>
      <c r="AJ68">
        <f t="shared" si="102"/>
        <v>26954.7</v>
      </c>
    </row>
    <row r="69" spans="1:36" x14ac:dyDescent="0.3">
      <c r="A69">
        <v>68</v>
      </c>
      <c r="C69">
        <v>168</v>
      </c>
      <c r="D69">
        <f t="shared" si="90"/>
        <v>946.6</v>
      </c>
      <c r="E69">
        <v>268</v>
      </c>
      <c r="G69">
        <v>368</v>
      </c>
      <c r="I69">
        <v>468</v>
      </c>
      <c r="J69">
        <f t="shared" si="91"/>
        <v>4276.6000000000004</v>
      </c>
      <c r="K69">
        <v>568</v>
      </c>
      <c r="M69">
        <v>668</v>
      </c>
      <c r="N69">
        <f t="shared" si="92"/>
        <v>7147.4</v>
      </c>
      <c r="O69">
        <v>768</v>
      </c>
      <c r="P69">
        <f t="shared" si="93"/>
        <v>8718.7999999999993</v>
      </c>
      <c r="Q69">
        <v>868</v>
      </c>
      <c r="R69">
        <f t="shared" si="94"/>
        <v>10364.4</v>
      </c>
      <c r="S69">
        <v>968</v>
      </c>
      <c r="T69">
        <f t="shared" si="95"/>
        <v>12072.2</v>
      </c>
      <c r="U69">
        <v>1068</v>
      </c>
      <c r="V69">
        <f t="shared" si="89"/>
        <v>13841.4</v>
      </c>
      <c r="W69">
        <v>1168</v>
      </c>
      <c r="X69">
        <f t="shared" si="96"/>
        <v>15639.4</v>
      </c>
      <c r="Y69">
        <v>1268</v>
      </c>
      <c r="Z69">
        <f t="shared" si="97"/>
        <v>17481</v>
      </c>
      <c r="AA69">
        <v>1368</v>
      </c>
      <c r="AB69">
        <f t="shared" si="98"/>
        <v>19351.400000000001</v>
      </c>
      <c r="AC69">
        <v>1468</v>
      </c>
      <c r="AD69">
        <f t="shared" si="99"/>
        <v>21243</v>
      </c>
      <c r="AE69">
        <v>1568</v>
      </c>
      <c r="AF69">
        <f t="shared" si="100"/>
        <v>23148.799999999999</v>
      </c>
      <c r="AG69">
        <v>1668</v>
      </c>
      <c r="AH69">
        <f t="shared" si="101"/>
        <v>25060.799999999999</v>
      </c>
      <c r="AI69">
        <v>1768</v>
      </c>
      <c r="AJ69">
        <f t="shared" si="102"/>
        <v>26973.8</v>
      </c>
    </row>
    <row r="70" spans="1:36" x14ac:dyDescent="0.3">
      <c r="A70">
        <v>69</v>
      </c>
      <c r="C70">
        <v>169</v>
      </c>
      <c r="D70">
        <f t="shared" si="90"/>
        <v>954.8</v>
      </c>
      <c r="E70">
        <v>269</v>
      </c>
      <c r="G70">
        <v>369</v>
      </c>
      <c r="I70">
        <v>469</v>
      </c>
      <c r="J70">
        <f t="shared" si="91"/>
        <v>4289.8</v>
      </c>
      <c r="K70">
        <v>569</v>
      </c>
      <c r="M70">
        <v>669</v>
      </c>
      <c r="N70">
        <f t="shared" si="92"/>
        <v>7162.7</v>
      </c>
      <c r="O70">
        <v>769</v>
      </c>
      <c r="P70">
        <f t="shared" si="93"/>
        <v>8734.9</v>
      </c>
      <c r="Q70">
        <v>869</v>
      </c>
      <c r="R70">
        <f t="shared" si="94"/>
        <v>10381.200000000001</v>
      </c>
      <c r="S70">
        <v>969</v>
      </c>
      <c r="T70">
        <f t="shared" si="95"/>
        <v>12089.6</v>
      </c>
      <c r="U70">
        <v>1069</v>
      </c>
      <c r="V70">
        <f t="shared" si="89"/>
        <v>13860.2</v>
      </c>
      <c r="W70">
        <v>1169</v>
      </c>
      <c r="X70">
        <f t="shared" si="96"/>
        <v>15657.7</v>
      </c>
      <c r="Y70">
        <v>1269</v>
      </c>
      <c r="Z70">
        <f t="shared" si="97"/>
        <v>17499.5</v>
      </c>
      <c r="AA70">
        <v>1369</v>
      </c>
      <c r="AB70">
        <f t="shared" si="98"/>
        <v>19370.2</v>
      </c>
      <c r="AC70">
        <v>1469</v>
      </c>
      <c r="AD70">
        <f t="shared" si="99"/>
        <v>21262</v>
      </c>
      <c r="AE70">
        <v>1569</v>
      </c>
      <c r="AF70">
        <f t="shared" si="100"/>
        <v>23167.9</v>
      </c>
      <c r="AG70">
        <v>1669</v>
      </c>
      <c r="AH70">
        <f t="shared" si="101"/>
        <v>25079.9</v>
      </c>
      <c r="AI70">
        <v>1769</v>
      </c>
      <c r="AJ70">
        <f t="shared" si="102"/>
        <v>26992.9</v>
      </c>
    </row>
    <row r="71" spans="1:36" x14ac:dyDescent="0.3">
      <c r="A71">
        <v>70</v>
      </c>
      <c r="B71">
        <v>257</v>
      </c>
      <c r="C71">
        <v>170</v>
      </c>
      <c r="D71">
        <v>963</v>
      </c>
      <c r="E71">
        <v>270</v>
      </c>
      <c r="F71">
        <v>1910</v>
      </c>
      <c r="G71">
        <v>370</v>
      </c>
      <c r="H71">
        <v>3035</v>
      </c>
      <c r="I71">
        <v>470</v>
      </c>
      <c r="J71">
        <v>4303</v>
      </c>
      <c r="K71">
        <v>570</v>
      </c>
      <c r="L71">
        <v>5690</v>
      </c>
      <c r="M71">
        <v>670</v>
      </c>
      <c r="N71">
        <v>7178</v>
      </c>
      <c r="O71">
        <v>770</v>
      </c>
      <c r="P71">
        <v>8751</v>
      </c>
      <c r="Q71">
        <v>870</v>
      </c>
      <c r="R71">
        <v>10398</v>
      </c>
      <c r="S71">
        <v>970</v>
      </c>
      <c r="T71">
        <v>12107</v>
      </c>
      <c r="U71">
        <v>1070</v>
      </c>
      <c r="V71">
        <v>13879</v>
      </c>
      <c r="W71">
        <v>1170</v>
      </c>
      <c r="X71">
        <v>15676</v>
      </c>
      <c r="Y71">
        <v>1270</v>
      </c>
      <c r="Z71">
        <v>17518</v>
      </c>
      <c r="AA71">
        <v>1370</v>
      </c>
      <c r="AB71">
        <v>19389</v>
      </c>
      <c r="AC71">
        <v>1470</v>
      </c>
      <c r="AD71">
        <v>21281</v>
      </c>
      <c r="AE71">
        <v>1570</v>
      </c>
      <c r="AF71">
        <v>23187</v>
      </c>
      <c r="AG71">
        <v>1670</v>
      </c>
      <c r="AH71">
        <v>25099</v>
      </c>
      <c r="AI71">
        <v>1770</v>
      </c>
      <c r="AJ71">
        <v>27012</v>
      </c>
    </row>
    <row r="72" spans="1:36" x14ac:dyDescent="0.3">
      <c r="A72">
        <v>71</v>
      </c>
      <c r="C72">
        <v>171</v>
      </c>
      <c r="D72">
        <f>963+((1049-963)/10)*(C72-170)</f>
        <v>971.6</v>
      </c>
      <c r="E72">
        <v>271</v>
      </c>
      <c r="G72">
        <v>371</v>
      </c>
      <c r="I72">
        <v>471</v>
      </c>
      <c r="K72">
        <v>571</v>
      </c>
      <c r="L72">
        <f>5690+((5835-5690)/10)*(K72-570)</f>
        <v>5704.5</v>
      </c>
      <c r="M72">
        <v>671</v>
      </c>
      <c r="N72">
        <f>7178+((7331-7178)/10)*(M72-670)</f>
        <v>7193.3</v>
      </c>
      <c r="O72">
        <v>771</v>
      </c>
      <c r="P72">
        <f>8751+((8913-8751)/10)*(O72-770)</f>
        <v>8767.2000000000007</v>
      </c>
      <c r="Q72">
        <v>871</v>
      </c>
      <c r="S72">
        <v>971</v>
      </c>
      <c r="T72">
        <f>12281+((12281-12107)/10)*(S72-970)</f>
        <v>12298.4</v>
      </c>
      <c r="U72">
        <v>1071</v>
      </c>
      <c r="V72">
        <f>13879+((14048-13879)/10)*(U72-1070)</f>
        <v>13895.9</v>
      </c>
      <c r="W72">
        <v>1171</v>
      </c>
      <c r="X72">
        <f>15676+((15859-15676)/10)*(W72-1170)</f>
        <v>15694.3</v>
      </c>
      <c r="Y72">
        <v>1271</v>
      </c>
      <c r="Z72">
        <f>17518+((17704-17518)/10)*(Y72-1270)</f>
        <v>17536.599999999999</v>
      </c>
      <c r="AA72">
        <v>1371</v>
      </c>
      <c r="AB72">
        <f>19389+((19578-19389)/10)*(AA72-1370)</f>
        <v>19407.900000000001</v>
      </c>
      <c r="AC72">
        <v>1471</v>
      </c>
      <c r="AD72">
        <f>21281+((21471-21281)/10)*(AC72-1470)</f>
        <v>21300</v>
      </c>
      <c r="AE72">
        <v>1571</v>
      </c>
      <c r="AF72">
        <f>23187+((23378-23187)/10)*(AE72-1570)</f>
        <v>23206.1</v>
      </c>
      <c r="AG72">
        <v>1671</v>
      </c>
      <c r="AH72">
        <f>25099+((25291-25099)/10)*(AG72-1670)</f>
        <v>25118.2</v>
      </c>
      <c r="AI72">
        <v>1771</v>
      </c>
      <c r="AJ72">
        <f>27012+((27203-27012)/10)*(AI72-1770)</f>
        <v>27031.1</v>
      </c>
    </row>
    <row r="73" spans="1:36" x14ac:dyDescent="0.3">
      <c r="A73">
        <v>72</v>
      </c>
      <c r="C73">
        <v>172</v>
      </c>
      <c r="D73">
        <f t="shared" ref="D73:D80" si="103">963+((1049-963)/10)*(C73-170)</f>
        <v>980.2</v>
      </c>
      <c r="E73">
        <v>272</v>
      </c>
      <c r="G73">
        <v>372</v>
      </c>
      <c r="I73">
        <v>472</v>
      </c>
      <c r="K73">
        <v>572</v>
      </c>
      <c r="L73">
        <f t="shared" ref="L73:L80" si="104">5690+((5835-5690)/10)*(K73-570)</f>
        <v>5719</v>
      </c>
      <c r="M73">
        <v>672</v>
      </c>
      <c r="N73">
        <f t="shared" ref="N73:N80" si="105">7178+((7331-7178)/10)*(M73-670)</f>
        <v>7208.6</v>
      </c>
      <c r="O73">
        <v>772</v>
      </c>
      <c r="P73">
        <f t="shared" ref="P73:P80" si="106">8751+((8913-8751)/10)*(O73-770)</f>
        <v>8783.4</v>
      </c>
      <c r="Q73">
        <v>872</v>
      </c>
      <c r="S73">
        <v>972</v>
      </c>
      <c r="T73">
        <f t="shared" ref="T73:T80" si="107">12281+((12281-12107)/10)*(S73-970)</f>
        <v>12315.8</v>
      </c>
      <c r="U73">
        <v>1072</v>
      </c>
      <c r="V73">
        <f t="shared" ref="V73:V80" si="108">13879+((14048-13879)/10)*(U73-1070)</f>
        <v>13912.8</v>
      </c>
      <c r="W73">
        <v>1172</v>
      </c>
      <c r="X73">
        <f t="shared" ref="X73:X80" si="109">15676+((15859-15676)/10)*(W73-1170)</f>
        <v>15712.6</v>
      </c>
      <c r="Y73">
        <v>1272</v>
      </c>
      <c r="Z73">
        <f t="shared" ref="Z73:Z80" si="110">17518+((17704-17518)/10)*(Y73-1270)</f>
        <v>17555.2</v>
      </c>
      <c r="AA73">
        <v>1372</v>
      </c>
      <c r="AB73">
        <f t="shared" ref="AB73:AB80" si="111">19389+((19578-19389)/10)*(AA73-1370)</f>
        <v>19426.8</v>
      </c>
      <c r="AC73">
        <v>1472</v>
      </c>
      <c r="AD73">
        <f t="shared" ref="AD73:AD80" si="112">21281+((21471-21281)/10)*(AC73-1470)</f>
        <v>21319</v>
      </c>
      <c r="AE73">
        <v>1572</v>
      </c>
      <c r="AF73">
        <f t="shared" ref="AF73:AF80" si="113">23187+((23378-23187)/10)*(AE73-1570)</f>
        <v>23225.200000000001</v>
      </c>
      <c r="AG73">
        <v>1672</v>
      </c>
      <c r="AH73">
        <f t="shared" ref="AH73:AH80" si="114">25099+((25291-25099)/10)*(AG73-1670)</f>
        <v>25137.4</v>
      </c>
      <c r="AI73">
        <v>1772</v>
      </c>
      <c r="AJ73">
        <f t="shared" ref="AJ73:AJ80" si="115">27012+((27203-27012)/10)*(AI73-1770)</f>
        <v>27050.2</v>
      </c>
    </row>
    <row r="74" spans="1:36" x14ac:dyDescent="0.3">
      <c r="A74">
        <v>73</v>
      </c>
      <c r="C74">
        <v>173</v>
      </c>
      <c r="D74">
        <f t="shared" si="103"/>
        <v>988.8</v>
      </c>
      <c r="E74">
        <v>273</v>
      </c>
      <c r="G74">
        <v>373</v>
      </c>
      <c r="I74">
        <v>473</v>
      </c>
      <c r="K74">
        <v>573</v>
      </c>
      <c r="L74">
        <f t="shared" si="104"/>
        <v>5733.5</v>
      </c>
      <c r="M74">
        <v>673</v>
      </c>
      <c r="N74">
        <f t="shared" si="105"/>
        <v>7223.9</v>
      </c>
      <c r="O74">
        <v>773</v>
      </c>
      <c r="P74">
        <f t="shared" si="106"/>
        <v>8799.6</v>
      </c>
      <c r="Q74">
        <v>873</v>
      </c>
      <c r="S74">
        <v>973</v>
      </c>
      <c r="T74">
        <f t="shared" si="107"/>
        <v>12333.2</v>
      </c>
      <c r="U74">
        <v>1073</v>
      </c>
      <c r="V74">
        <f t="shared" si="108"/>
        <v>13929.7</v>
      </c>
      <c r="W74">
        <v>1173</v>
      </c>
      <c r="X74">
        <f t="shared" si="109"/>
        <v>15730.9</v>
      </c>
      <c r="Y74">
        <v>1273</v>
      </c>
      <c r="Z74">
        <f t="shared" si="110"/>
        <v>17573.8</v>
      </c>
      <c r="AA74">
        <v>1373</v>
      </c>
      <c r="AB74">
        <f t="shared" si="111"/>
        <v>19445.7</v>
      </c>
      <c r="AC74">
        <v>1473</v>
      </c>
      <c r="AD74">
        <f t="shared" si="112"/>
        <v>21338</v>
      </c>
      <c r="AE74">
        <v>1573</v>
      </c>
      <c r="AF74">
        <f t="shared" si="113"/>
        <v>23244.3</v>
      </c>
      <c r="AG74">
        <v>1673</v>
      </c>
      <c r="AH74">
        <f t="shared" si="114"/>
        <v>25156.6</v>
      </c>
      <c r="AI74">
        <v>1773</v>
      </c>
      <c r="AJ74">
        <f t="shared" si="115"/>
        <v>27069.3</v>
      </c>
    </row>
    <row r="75" spans="1:36" x14ac:dyDescent="0.3">
      <c r="A75">
        <v>74</v>
      </c>
      <c r="C75">
        <v>174</v>
      </c>
      <c r="D75">
        <f t="shared" si="103"/>
        <v>997.4</v>
      </c>
      <c r="E75">
        <v>274</v>
      </c>
      <c r="G75">
        <v>374</v>
      </c>
      <c r="I75">
        <v>474</v>
      </c>
      <c r="K75">
        <v>574</v>
      </c>
      <c r="L75">
        <f t="shared" si="104"/>
        <v>5748</v>
      </c>
      <c r="M75">
        <v>674</v>
      </c>
      <c r="N75">
        <f t="shared" si="105"/>
        <v>7239.2</v>
      </c>
      <c r="O75">
        <v>774</v>
      </c>
      <c r="P75">
        <f t="shared" si="106"/>
        <v>8815.7999999999993</v>
      </c>
      <c r="Q75">
        <v>874</v>
      </c>
      <c r="S75">
        <v>974</v>
      </c>
      <c r="T75">
        <f t="shared" si="107"/>
        <v>12350.6</v>
      </c>
      <c r="U75">
        <v>1074</v>
      </c>
      <c r="V75">
        <f t="shared" si="108"/>
        <v>13946.6</v>
      </c>
      <c r="W75">
        <v>1174</v>
      </c>
      <c r="X75">
        <f t="shared" si="109"/>
        <v>15749.2</v>
      </c>
      <c r="Y75">
        <v>1274</v>
      </c>
      <c r="Z75">
        <f t="shared" si="110"/>
        <v>17592.400000000001</v>
      </c>
      <c r="AA75">
        <v>1374</v>
      </c>
      <c r="AB75">
        <f t="shared" si="111"/>
        <v>19464.599999999999</v>
      </c>
      <c r="AC75">
        <v>1474</v>
      </c>
      <c r="AD75">
        <f t="shared" si="112"/>
        <v>21357</v>
      </c>
      <c r="AE75">
        <v>1574</v>
      </c>
      <c r="AF75">
        <f t="shared" si="113"/>
        <v>23263.4</v>
      </c>
      <c r="AG75">
        <v>1674</v>
      </c>
      <c r="AH75">
        <f t="shared" si="114"/>
        <v>25175.8</v>
      </c>
      <c r="AI75">
        <v>1774</v>
      </c>
      <c r="AJ75">
        <f t="shared" si="115"/>
        <v>27088.400000000001</v>
      </c>
    </row>
    <row r="76" spans="1:36" x14ac:dyDescent="0.3">
      <c r="A76">
        <v>75</v>
      </c>
      <c r="C76">
        <v>175</v>
      </c>
      <c r="D76">
        <f t="shared" si="103"/>
        <v>1006</v>
      </c>
      <c r="E76">
        <v>275</v>
      </c>
      <c r="G76">
        <v>375</v>
      </c>
      <c r="I76">
        <v>475</v>
      </c>
      <c r="K76">
        <v>575</v>
      </c>
      <c r="L76">
        <f t="shared" si="104"/>
        <v>5762.5</v>
      </c>
      <c r="M76">
        <v>675</v>
      </c>
      <c r="N76">
        <f t="shared" si="105"/>
        <v>7254.5</v>
      </c>
      <c r="O76">
        <v>775</v>
      </c>
      <c r="P76">
        <f t="shared" si="106"/>
        <v>8832</v>
      </c>
      <c r="Q76">
        <v>875</v>
      </c>
      <c r="S76">
        <v>975</v>
      </c>
      <c r="T76">
        <f t="shared" si="107"/>
        <v>12368</v>
      </c>
      <c r="U76">
        <v>1075</v>
      </c>
      <c r="V76">
        <f t="shared" si="108"/>
        <v>13963.5</v>
      </c>
      <c r="W76">
        <v>1175</v>
      </c>
      <c r="X76">
        <f t="shared" si="109"/>
        <v>15767.5</v>
      </c>
      <c r="Y76">
        <v>1275</v>
      </c>
      <c r="Z76">
        <f t="shared" si="110"/>
        <v>17611</v>
      </c>
      <c r="AA76">
        <v>1375</v>
      </c>
      <c r="AB76">
        <f t="shared" si="111"/>
        <v>19483.5</v>
      </c>
      <c r="AC76">
        <v>1475</v>
      </c>
      <c r="AD76">
        <f t="shared" si="112"/>
        <v>21376</v>
      </c>
      <c r="AE76">
        <v>1575</v>
      </c>
      <c r="AF76">
        <f t="shared" si="113"/>
        <v>23282.5</v>
      </c>
      <c r="AG76">
        <v>1675</v>
      </c>
      <c r="AH76">
        <f t="shared" si="114"/>
        <v>25195</v>
      </c>
      <c r="AI76">
        <v>1775</v>
      </c>
      <c r="AJ76">
        <f t="shared" si="115"/>
        <v>27107.5</v>
      </c>
    </row>
    <row r="77" spans="1:36" x14ac:dyDescent="0.3">
      <c r="A77">
        <v>76</v>
      </c>
      <c r="C77">
        <v>176</v>
      </c>
      <c r="D77">
        <f t="shared" si="103"/>
        <v>1014.6</v>
      </c>
      <c r="E77">
        <v>276</v>
      </c>
      <c r="G77">
        <v>376</v>
      </c>
      <c r="I77">
        <v>476</v>
      </c>
      <c r="K77">
        <v>576</v>
      </c>
      <c r="L77">
        <f t="shared" si="104"/>
        <v>5777</v>
      </c>
      <c r="M77">
        <v>676</v>
      </c>
      <c r="N77">
        <f t="shared" si="105"/>
        <v>7269.8</v>
      </c>
      <c r="O77">
        <v>776</v>
      </c>
      <c r="P77">
        <f t="shared" si="106"/>
        <v>8848.2000000000007</v>
      </c>
      <c r="Q77">
        <v>876</v>
      </c>
      <c r="S77">
        <v>976</v>
      </c>
      <c r="T77">
        <f t="shared" si="107"/>
        <v>12385.4</v>
      </c>
      <c r="U77">
        <v>1076</v>
      </c>
      <c r="V77">
        <f t="shared" si="108"/>
        <v>13980.4</v>
      </c>
      <c r="W77">
        <v>1176</v>
      </c>
      <c r="X77">
        <f t="shared" si="109"/>
        <v>15785.8</v>
      </c>
      <c r="Y77">
        <v>1276</v>
      </c>
      <c r="Z77">
        <f t="shared" si="110"/>
        <v>17629.599999999999</v>
      </c>
      <c r="AA77">
        <v>1376</v>
      </c>
      <c r="AB77">
        <f t="shared" si="111"/>
        <v>19502.400000000001</v>
      </c>
      <c r="AC77">
        <v>1476</v>
      </c>
      <c r="AD77">
        <f t="shared" si="112"/>
        <v>21395</v>
      </c>
      <c r="AE77">
        <v>1576</v>
      </c>
      <c r="AF77">
        <f t="shared" si="113"/>
        <v>23301.599999999999</v>
      </c>
      <c r="AG77">
        <v>1676</v>
      </c>
      <c r="AH77">
        <f t="shared" si="114"/>
        <v>25214.2</v>
      </c>
      <c r="AI77">
        <v>1776</v>
      </c>
      <c r="AJ77">
        <f t="shared" si="115"/>
        <v>27126.6</v>
      </c>
    </row>
    <row r="78" spans="1:36" x14ac:dyDescent="0.3">
      <c r="A78">
        <v>77</v>
      </c>
      <c r="C78">
        <v>177</v>
      </c>
      <c r="D78">
        <f t="shared" si="103"/>
        <v>1023.2</v>
      </c>
      <c r="E78">
        <v>277</v>
      </c>
      <c r="G78">
        <v>377</v>
      </c>
      <c r="I78">
        <v>477</v>
      </c>
      <c r="K78">
        <v>577</v>
      </c>
      <c r="L78">
        <f t="shared" si="104"/>
        <v>5791.5</v>
      </c>
      <c r="M78">
        <v>677</v>
      </c>
      <c r="N78">
        <f t="shared" si="105"/>
        <v>7285.1</v>
      </c>
      <c r="O78">
        <v>777</v>
      </c>
      <c r="P78">
        <f t="shared" si="106"/>
        <v>8864.4</v>
      </c>
      <c r="Q78">
        <v>877</v>
      </c>
      <c r="S78">
        <v>977</v>
      </c>
      <c r="T78">
        <f t="shared" si="107"/>
        <v>12402.8</v>
      </c>
      <c r="U78">
        <v>1077</v>
      </c>
      <c r="V78">
        <f t="shared" si="108"/>
        <v>13997.3</v>
      </c>
      <c r="W78">
        <v>1177</v>
      </c>
      <c r="X78">
        <f t="shared" si="109"/>
        <v>15804.1</v>
      </c>
      <c r="Y78">
        <v>1277</v>
      </c>
      <c r="Z78">
        <f t="shared" si="110"/>
        <v>17648.2</v>
      </c>
      <c r="AA78">
        <v>1377</v>
      </c>
      <c r="AB78">
        <f t="shared" si="111"/>
        <v>19521.3</v>
      </c>
      <c r="AC78">
        <v>1477</v>
      </c>
      <c r="AD78">
        <f t="shared" si="112"/>
        <v>21414</v>
      </c>
      <c r="AE78">
        <v>1577</v>
      </c>
      <c r="AF78">
        <f t="shared" si="113"/>
        <v>23320.7</v>
      </c>
      <c r="AG78">
        <v>1677</v>
      </c>
      <c r="AH78">
        <f t="shared" si="114"/>
        <v>25233.4</v>
      </c>
      <c r="AI78">
        <v>1777</v>
      </c>
      <c r="AJ78">
        <f t="shared" si="115"/>
        <v>27145.7</v>
      </c>
    </row>
    <row r="79" spans="1:36" x14ac:dyDescent="0.3">
      <c r="A79">
        <v>78</v>
      </c>
      <c r="C79">
        <v>178</v>
      </c>
      <c r="D79">
        <f t="shared" si="103"/>
        <v>1031.8</v>
      </c>
      <c r="E79">
        <v>278</v>
      </c>
      <c r="G79">
        <v>378</v>
      </c>
      <c r="I79">
        <v>478</v>
      </c>
      <c r="K79">
        <v>578</v>
      </c>
      <c r="L79">
        <f t="shared" si="104"/>
        <v>5806</v>
      </c>
      <c r="M79">
        <v>678</v>
      </c>
      <c r="N79">
        <f t="shared" si="105"/>
        <v>7300.4</v>
      </c>
      <c r="O79">
        <v>778</v>
      </c>
      <c r="P79">
        <f t="shared" si="106"/>
        <v>8880.6</v>
      </c>
      <c r="Q79">
        <v>878</v>
      </c>
      <c r="S79">
        <v>978</v>
      </c>
      <c r="T79">
        <f t="shared" si="107"/>
        <v>12420.2</v>
      </c>
      <c r="U79">
        <v>1078</v>
      </c>
      <c r="V79">
        <f t="shared" si="108"/>
        <v>14014.2</v>
      </c>
      <c r="W79">
        <v>1178</v>
      </c>
      <c r="X79">
        <f t="shared" si="109"/>
        <v>15822.4</v>
      </c>
      <c r="Y79">
        <v>1278</v>
      </c>
      <c r="Z79">
        <f t="shared" si="110"/>
        <v>17666.8</v>
      </c>
      <c r="AA79">
        <v>1378</v>
      </c>
      <c r="AB79">
        <f t="shared" si="111"/>
        <v>19540.2</v>
      </c>
      <c r="AC79">
        <v>1478</v>
      </c>
      <c r="AD79">
        <f t="shared" si="112"/>
        <v>21433</v>
      </c>
      <c r="AE79">
        <v>1578</v>
      </c>
      <c r="AF79">
        <f t="shared" si="113"/>
        <v>23339.8</v>
      </c>
      <c r="AG79">
        <v>1678</v>
      </c>
      <c r="AH79">
        <f t="shared" si="114"/>
        <v>25252.6</v>
      </c>
      <c r="AI79">
        <v>1778</v>
      </c>
      <c r="AJ79">
        <f t="shared" si="115"/>
        <v>27164.799999999999</v>
      </c>
    </row>
    <row r="80" spans="1:36" x14ac:dyDescent="0.3">
      <c r="A80">
        <v>79</v>
      </c>
      <c r="C80">
        <v>179</v>
      </c>
      <c r="D80">
        <f t="shared" si="103"/>
        <v>1040.4000000000001</v>
      </c>
      <c r="E80">
        <v>279</v>
      </c>
      <c r="G80">
        <v>379</v>
      </c>
      <c r="I80">
        <v>479</v>
      </c>
      <c r="K80">
        <v>579</v>
      </c>
      <c r="L80">
        <f t="shared" si="104"/>
        <v>5820.5</v>
      </c>
      <c r="M80">
        <v>679</v>
      </c>
      <c r="N80">
        <f t="shared" si="105"/>
        <v>7315.7</v>
      </c>
      <c r="O80">
        <v>779</v>
      </c>
      <c r="P80">
        <f t="shared" si="106"/>
        <v>8896.7999999999993</v>
      </c>
      <c r="Q80">
        <v>879</v>
      </c>
      <c r="S80">
        <v>979</v>
      </c>
      <c r="T80">
        <f t="shared" si="107"/>
        <v>12437.6</v>
      </c>
      <c r="U80">
        <v>1079</v>
      </c>
      <c r="V80">
        <f t="shared" si="108"/>
        <v>14031.1</v>
      </c>
      <c r="W80">
        <v>1179</v>
      </c>
      <c r="X80">
        <f t="shared" si="109"/>
        <v>15840.7</v>
      </c>
      <c r="Y80">
        <v>1279</v>
      </c>
      <c r="Z80">
        <f t="shared" si="110"/>
        <v>17685.400000000001</v>
      </c>
      <c r="AA80">
        <v>1379</v>
      </c>
      <c r="AB80">
        <f t="shared" si="111"/>
        <v>19559.099999999999</v>
      </c>
      <c r="AC80">
        <v>1479</v>
      </c>
      <c r="AD80">
        <f t="shared" si="112"/>
        <v>21452</v>
      </c>
      <c r="AE80">
        <v>1579</v>
      </c>
      <c r="AF80">
        <f t="shared" si="113"/>
        <v>23358.9</v>
      </c>
      <c r="AG80">
        <v>1679</v>
      </c>
      <c r="AH80">
        <f t="shared" si="114"/>
        <v>25271.8</v>
      </c>
      <c r="AI80">
        <v>1779</v>
      </c>
      <c r="AJ80">
        <f t="shared" si="115"/>
        <v>27183.9</v>
      </c>
    </row>
    <row r="81" spans="1:36" x14ac:dyDescent="0.3">
      <c r="A81">
        <v>80</v>
      </c>
      <c r="B81">
        <v>314</v>
      </c>
      <c r="C81">
        <v>180</v>
      </c>
      <c r="D81">
        <v>1049</v>
      </c>
      <c r="E81">
        <v>280</v>
      </c>
      <c r="F81">
        <v>2016</v>
      </c>
      <c r="G81">
        <v>380</v>
      </c>
      <c r="H81">
        <v>3156</v>
      </c>
      <c r="I81">
        <v>480</v>
      </c>
      <c r="J81">
        <v>4437</v>
      </c>
      <c r="K81">
        <v>580</v>
      </c>
      <c r="L81">
        <v>5835</v>
      </c>
      <c r="M81">
        <v>680</v>
      </c>
      <c r="N81">
        <v>7331</v>
      </c>
      <c r="O81">
        <v>780</v>
      </c>
      <c r="P81">
        <v>8912</v>
      </c>
      <c r="Q81">
        <v>880</v>
      </c>
      <c r="R81">
        <v>10565</v>
      </c>
      <c r="S81">
        <v>980</v>
      </c>
      <c r="T81">
        <v>12281</v>
      </c>
      <c r="U81">
        <v>1080</v>
      </c>
      <c r="V81">
        <v>14048</v>
      </c>
      <c r="W81">
        <v>1180</v>
      </c>
      <c r="X81">
        <v>15859</v>
      </c>
      <c r="Y81">
        <v>1280</v>
      </c>
      <c r="Z81">
        <v>17704</v>
      </c>
      <c r="AA81">
        <v>1380</v>
      </c>
      <c r="AB81">
        <v>19578</v>
      </c>
      <c r="AC81">
        <v>1480</v>
      </c>
      <c r="AD81">
        <v>21471</v>
      </c>
      <c r="AE81">
        <v>1580</v>
      </c>
      <c r="AF81">
        <v>23378</v>
      </c>
      <c r="AG81">
        <v>1680</v>
      </c>
      <c r="AH81">
        <v>25291</v>
      </c>
      <c r="AI81">
        <v>1780</v>
      </c>
      <c r="AJ81">
        <v>27203</v>
      </c>
    </row>
    <row r="82" spans="1:36" x14ac:dyDescent="0.3">
      <c r="A82">
        <v>81</v>
      </c>
      <c r="C82">
        <v>181</v>
      </c>
      <c r="E82">
        <v>281</v>
      </c>
      <c r="G82">
        <v>381</v>
      </c>
      <c r="H82">
        <f>3156+((3278-3156)/10)*(G82-380)</f>
        <v>3168.2</v>
      </c>
      <c r="I82">
        <v>481</v>
      </c>
      <c r="J82">
        <f>4437+((4572-4437)/10)*(I82-480)</f>
        <v>4450.5</v>
      </c>
      <c r="K82">
        <v>581</v>
      </c>
      <c r="M82">
        <v>681</v>
      </c>
      <c r="N82">
        <f>7331+((7486-7331)/10)*(M82-680)</f>
        <v>7346.5</v>
      </c>
      <c r="O82">
        <v>781</v>
      </c>
      <c r="P82">
        <f>8912+((9075-8912)/10)*(O82-780)</f>
        <v>8928.2999999999993</v>
      </c>
      <c r="Q82">
        <v>881</v>
      </c>
      <c r="R82">
        <f>10565+((10735-10565)/10)*(Q82-880)</f>
        <v>10582</v>
      </c>
      <c r="S82">
        <v>981</v>
      </c>
      <c r="T82">
        <f>12281+((12455-12281)/10)*(S82-980)</f>
        <v>12298.4</v>
      </c>
      <c r="U82">
        <v>1081</v>
      </c>
      <c r="V82">
        <f>14048+((14227-14048)/10)*(U82-1080)</f>
        <v>14065.9</v>
      </c>
      <c r="W82">
        <v>1181</v>
      </c>
      <c r="X82">
        <f>15859+((16042-15859)/10)*(W82-1180)</f>
        <v>15877.3</v>
      </c>
      <c r="Y82">
        <v>1281</v>
      </c>
      <c r="Z82">
        <f>17704+((17891-17704)/10)*(Y82-1280)</f>
        <v>17722.7</v>
      </c>
      <c r="AA82">
        <v>1381</v>
      </c>
      <c r="AB82">
        <f>19578+((19578-19766)/10)*(AA82-1380)</f>
        <v>19559.2</v>
      </c>
      <c r="AC82">
        <v>1481</v>
      </c>
      <c r="AD82">
        <f>21471+((21661-21471)/10)*(AC82-1480)</f>
        <v>21490</v>
      </c>
      <c r="AE82">
        <v>1581</v>
      </c>
      <c r="AF82">
        <f>23378+((23569-23378)/10)*(AE82-1580)</f>
        <v>23397.1</v>
      </c>
      <c r="AG82">
        <v>1681</v>
      </c>
      <c r="AH82">
        <f>25291+((25482-25291)/10)*(AG82-1680)</f>
        <v>25310.1</v>
      </c>
      <c r="AI82">
        <v>1781</v>
      </c>
      <c r="AJ82">
        <f>27203+((27394-27203)/10)*(AI82-1780)</f>
        <v>27222.1</v>
      </c>
    </row>
    <row r="83" spans="1:36" x14ac:dyDescent="0.3">
      <c r="A83">
        <v>82</v>
      </c>
      <c r="C83">
        <v>182</v>
      </c>
      <c r="E83">
        <v>282</v>
      </c>
      <c r="G83">
        <v>382</v>
      </c>
      <c r="H83">
        <f t="shared" ref="H83:H90" si="116">3156+((3278-3156)/10)*(G83-380)</f>
        <v>3180.4</v>
      </c>
      <c r="I83">
        <v>482</v>
      </c>
      <c r="J83">
        <f t="shared" ref="J83:J90" si="117">4437+((4572-4437)/10)*(I83-480)</f>
        <v>4464</v>
      </c>
      <c r="K83">
        <v>582</v>
      </c>
      <c r="M83">
        <v>682</v>
      </c>
      <c r="N83">
        <f t="shared" ref="N83:N90" si="118">7331+((7486-7331)/10)*(M83-680)</f>
        <v>7362</v>
      </c>
      <c r="O83">
        <v>782</v>
      </c>
      <c r="P83">
        <f t="shared" ref="P83:P90" si="119">8912+((9075-8912)/10)*(O83-780)</f>
        <v>8944.6</v>
      </c>
      <c r="Q83">
        <v>882</v>
      </c>
      <c r="R83">
        <f t="shared" ref="R83:R90" si="120">10565+((10735-10565)/10)*(Q83-880)</f>
        <v>10599</v>
      </c>
      <c r="S83">
        <v>982</v>
      </c>
      <c r="T83">
        <f t="shared" ref="T83:T90" si="121">12281+((12455-12281)/10)*(S83-980)</f>
        <v>12315.8</v>
      </c>
      <c r="U83">
        <v>1082</v>
      </c>
      <c r="V83">
        <f t="shared" ref="V83:V90" si="122">14048+((14227-14048)/10)*(U83-1080)</f>
        <v>14083.8</v>
      </c>
      <c r="W83">
        <v>1182</v>
      </c>
      <c r="X83">
        <f t="shared" ref="X83:X90" si="123">15859+((16042-15859)/10)*(W83-1180)</f>
        <v>15895.6</v>
      </c>
      <c r="Y83">
        <v>1282</v>
      </c>
      <c r="Z83">
        <f t="shared" ref="Z83:Z90" si="124">17704+((17891-17704)/10)*(Y83-1280)</f>
        <v>17741.400000000001</v>
      </c>
      <c r="AA83">
        <v>1382</v>
      </c>
      <c r="AB83">
        <f t="shared" ref="AB83:AB90" si="125">19578+((19578-19766)/10)*(AA83-1380)</f>
        <v>19540.400000000001</v>
      </c>
      <c r="AC83">
        <v>1482</v>
      </c>
      <c r="AD83">
        <f t="shared" ref="AD83:AD90" si="126">21471+((21661-21471)/10)*(AC83-1480)</f>
        <v>21509</v>
      </c>
      <c r="AE83">
        <v>1582</v>
      </c>
      <c r="AF83">
        <f t="shared" ref="AF83:AF90" si="127">23378+((23569-23378)/10)*(AE83-1580)</f>
        <v>23416.2</v>
      </c>
      <c r="AG83">
        <v>1682</v>
      </c>
      <c r="AH83">
        <f t="shared" ref="AH83:AH90" si="128">25291+((25482-25291)/10)*(AG83-1680)</f>
        <v>25329.200000000001</v>
      </c>
      <c r="AI83">
        <v>1782</v>
      </c>
      <c r="AJ83">
        <f t="shared" ref="AJ83:AJ90" si="129">27203+((27394-27203)/10)*(AI83-1780)</f>
        <v>27241.200000000001</v>
      </c>
    </row>
    <row r="84" spans="1:36" x14ac:dyDescent="0.3">
      <c r="A84">
        <v>83</v>
      </c>
      <c r="C84">
        <v>183</v>
      </c>
      <c r="E84">
        <v>283</v>
      </c>
      <c r="G84">
        <v>383</v>
      </c>
      <c r="H84">
        <f t="shared" si="116"/>
        <v>3192.6</v>
      </c>
      <c r="I84">
        <v>483</v>
      </c>
      <c r="J84">
        <f t="shared" si="117"/>
        <v>4477.5</v>
      </c>
      <c r="K84">
        <v>583</v>
      </c>
      <c r="M84">
        <v>683</v>
      </c>
      <c r="N84">
        <f t="shared" si="118"/>
        <v>7377.5</v>
      </c>
      <c r="O84">
        <v>783</v>
      </c>
      <c r="P84">
        <f t="shared" si="119"/>
        <v>8960.9</v>
      </c>
      <c r="Q84">
        <v>883</v>
      </c>
      <c r="R84">
        <f t="shared" si="120"/>
        <v>10616</v>
      </c>
      <c r="S84">
        <v>983</v>
      </c>
      <c r="T84">
        <f t="shared" si="121"/>
        <v>12333.2</v>
      </c>
      <c r="U84">
        <v>1083</v>
      </c>
      <c r="V84">
        <f t="shared" si="122"/>
        <v>14101.7</v>
      </c>
      <c r="W84">
        <v>1183</v>
      </c>
      <c r="X84">
        <f t="shared" si="123"/>
        <v>15913.9</v>
      </c>
      <c r="Y84">
        <v>1283</v>
      </c>
      <c r="Z84">
        <f t="shared" si="124"/>
        <v>17760.099999999999</v>
      </c>
      <c r="AA84">
        <v>1383</v>
      </c>
      <c r="AB84">
        <f t="shared" si="125"/>
        <v>19521.599999999999</v>
      </c>
      <c r="AC84">
        <v>1483</v>
      </c>
      <c r="AD84">
        <f t="shared" si="126"/>
        <v>21528</v>
      </c>
      <c r="AE84">
        <v>1583</v>
      </c>
      <c r="AF84">
        <f t="shared" si="127"/>
        <v>23435.3</v>
      </c>
      <c r="AG84">
        <v>1683</v>
      </c>
      <c r="AH84">
        <f t="shared" si="128"/>
        <v>25348.3</v>
      </c>
      <c r="AI84">
        <v>1783</v>
      </c>
      <c r="AJ84">
        <f t="shared" si="129"/>
        <v>27260.3</v>
      </c>
    </row>
    <row r="85" spans="1:36" x14ac:dyDescent="0.3">
      <c r="A85">
        <v>84</v>
      </c>
      <c r="C85">
        <v>184</v>
      </c>
      <c r="E85">
        <v>284</v>
      </c>
      <c r="G85">
        <v>384</v>
      </c>
      <c r="H85">
        <f t="shared" si="116"/>
        <v>3204.8</v>
      </c>
      <c r="I85">
        <v>484</v>
      </c>
      <c r="J85">
        <f t="shared" si="117"/>
        <v>4491</v>
      </c>
      <c r="K85">
        <v>584</v>
      </c>
      <c r="M85">
        <v>684</v>
      </c>
      <c r="N85">
        <f t="shared" si="118"/>
        <v>7393</v>
      </c>
      <c r="O85">
        <v>784</v>
      </c>
      <c r="P85">
        <f t="shared" si="119"/>
        <v>8977.2000000000007</v>
      </c>
      <c r="Q85">
        <v>884</v>
      </c>
      <c r="R85">
        <f t="shared" si="120"/>
        <v>10633</v>
      </c>
      <c r="S85">
        <v>984</v>
      </c>
      <c r="T85">
        <f t="shared" si="121"/>
        <v>12350.6</v>
      </c>
      <c r="U85">
        <v>1084</v>
      </c>
      <c r="V85">
        <f t="shared" si="122"/>
        <v>14119.6</v>
      </c>
      <c r="W85">
        <v>1184</v>
      </c>
      <c r="X85">
        <f t="shared" si="123"/>
        <v>15932.2</v>
      </c>
      <c r="Y85">
        <v>1284</v>
      </c>
      <c r="Z85">
        <f t="shared" si="124"/>
        <v>17778.8</v>
      </c>
      <c r="AA85">
        <v>1384</v>
      </c>
      <c r="AB85">
        <f t="shared" si="125"/>
        <v>19502.8</v>
      </c>
      <c r="AC85">
        <v>1484</v>
      </c>
      <c r="AD85">
        <f t="shared" si="126"/>
        <v>21547</v>
      </c>
      <c r="AE85">
        <v>1584</v>
      </c>
      <c r="AF85">
        <f t="shared" si="127"/>
        <v>23454.400000000001</v>
      </c>
      <c r="AG85">
        <v>1684</v>
      </c>
      <c r="AH85">
        <f t="shared" si="128"/>
        <v>25367.4</v>
      </c>
      <c r="AI85">
        <v>1784</v>
      </c>
      <c r="AJ85">
        <f t="shared" si="129"/>
        <v>27279.4</v>
      </c>
    </row>
    <row r="86" spans="1:36" x14ac:dyDescent="0.3">
      <c r="A86">
        <v>85</v>
      </c>
      <c r="C86">
        <v>185</v>
      </c>
      <c r="E86">
        <v>285</v>
      </c>
      <c r="G86">
        <v>385</v>
      </c>
      <c r="H86">
        <f t="shared" si="116"/>
        <v>3217</v>
      </c>
      <c r="I86">
        <v>485</v>
      </c>
      <c r="J86">
        <f t="shared" si="117"/>
        <v>4504.5</v>
      </c>
      <c r="K86">
        <v>585</v>
      </c>
      <c r="M86">
        <v>685</v>
      </c>
      <c r="N86">
        <f t="shared" si="118"/>
        <v>7408.5</v>
      </c>
      <c r="O86">
        <v>785</v>
      </c>
      <c r="P86">
        <f t="shared" si="119"/>
        <v>8993.5</v>
      </c>
      <c r="Q86">
        <v>885</v>
      </c>
      <c r="R86">
        <f t="shared" si="120"/>
        <v>10650</v>
      </c>
      <c r="S86">
        <v>985</v>
      </c>
      <c r="T86">
        <f t="shared" si="121"/>
        <v>12368</v>
      </c>
      <c r="U86">
        <v>1085</v>
      </c>
      <c r="V86">
        <f t="shared" si="122"/>
        <v>14137.5</v>
      </c>
      <c r="W86">
        <v>1185</v>
      </c>
      <c r="X86">
        <f t="shared" si="123"/>
        <v>15950.5</v>
      </c>
      <c r="Y86">
        <v>1285</v>
      </c>
      <c r="Z86">
        <f t="shared" si="124"/>
        <v>17797.5</v>
      </c>
      <c r="AA86">
        <v>1385</v>
      </c>
      <c r="AB86">
        <f t="shared" si="125"/>
        <v>19484</v>
      </c>
      <c r="AC86">
        <v>1485</v>
      </c>
      <c r="AD86">
        <f t="shared" si="126"/>
        <v>21566</v>
      </c>
      <c r="AE86">
        <v>1585</v>
      </c>
      <c r="AF86">
        <f t="shared" si="127"/>
        <v>23473.5</v>
      </c>
      <c r="AG86">
        <v>1685</v>
      </c>
      <c r="AH86">
        <f t="shared" si="128"/>
        <v>25386.5</v>
      </c>
      <c r="AI86">
        <v>1785</v>
      </c>
      <c r="AJ86">
        <f t="shared" si="129"/>
        <v>27298.5</v>
      </c>
    </row>
    <row r="87" spans="1:36" x14ac:dyDescent="0.3">
      <c r="A87">
        <v>86</v>
      </c>
      <c r="C87">
        <v>186</v>
      </c>
      <c r="E87">
        <v>286</v>
      </c>
      <c r="G87">
        <v>386</v>
      </c>
      <c r="H87">
        <f t="shared" si="116"/>
        <v>3229.2</v>
      </c>
      <c r="I87">
        <v>486</v>
      </c>
      <c r="J87">
        <f t="shared" si="117"/>
        <v>4518</v>
      </c>
      <c r="K87">
        <v>586</v>
      </c>
      <c r="M87">
        <v>686</v>
      </c>
      <c r="N87">
        <f t="shared" si="118"/>
        <v>7424</v>
      </c>
      <c r="O87">
        <v>786</v>
      </c>
      <c r="P87">
        <f t="shared" si="119"/>
        <v>9009.7999999999993</v>
      </c>
      <c r="Q87">
        <v>886</v>
      </c>
      <c r="R87">
        <f t="shared" si="120"/>
        <v>10667</v>
      </c>
      <c r="S87">
        <v>986</v>
      </c>
      <c r="T87">
        <f t="shared" si="121"/>
        <v>12385.4</v>
      </c>
      <c r="U87">
        <v>1086</v>
      </c>
      <c r="V87">
        <f t="shared" si="122"/>
        <v>14155.4</v>
      </c>
      <c r="W87">
        <v>1186</v>
      </c>
      <c r="X87">
        <f t="shared" si="123"/>
        <v>15968.8</v>
      </c>
      <c r="Y87">
        <v>1286</v>
      </c>
      <c r="Z87">
        <f t="shared" si="124"/>
        <v>17816.2</v>
      </c>
      <c r="AA87">
        <v>1386</v>
      </c>
      <c r="AB87">
        <f t="shared" si="125"/>
        <v>19465.2</v>
      </c>
      <c r="AC87">
        <v>1486</v>
      </c>
      <c r="AD87">
        <f t="shared" si="126"/>
        <v>21585</v>
      </c>
      <c r="AE87">
        <v>1586</v>
      </c>
      <c r="AF87">
        <f t="shared" si="127"/>
        <v>23492.6</v>
      </c>
      <c r="AG87">
        <v>1686</v>
      </c>
      <c r="AH87">
        <f t="shared" si="128"/>
        <v>25405.599999999999</v>
      </c>
      <c r="AI87">
        <v>1786</v>
      </c>
      <c r="AJ87">
        <f t="shared" si="129"/>
        <v>27317.599999999999</v>
      </c>
    </row>
    <row r="88" spans="1:36" x14ac:dyDescent="0.3">
      <c r="A88">
        <v>87</v>
      </c>
      <c r="C88">
        <v>187</v>
      </c>
      <c r="E88">
        <v>287</v>
      </c>
      <c r="G88">
        <v>387</v>
      </c>
      <c r="H88">
        <f t="shared" si="116"/>
        <v>3241.4</v>
      </c>
      <c r="I88">
        <v>487</v>
      </c>
      <c r="J88">
        <f t="shared" si="117"/>
        <v>4531.5</v>
      </c>
      <c r="K88">
        <v>587</v>
      </c>
      <c r="M88">
        <v>687</v>
      </c>
      <c r="N88">
        <f t="shared" si="118"/>
        <v>7439.5</v>
      </c>
      <c r="O88">
        <v>787</v>
      </c>
      <c r="P88">
        <f t="shared" si="119"/>
        <v>9026.1</v>
      </c>
      <c r="Q88">
        <v>887</v>
      </c>
      <c r="R88">
        <f t="shared" si="120"/>
        <v>10684</v>
      </c>
      <c r="S88">
        <v>987</v>
      </c>
      <c r="T88">
        <f t="shared" si="121"/>
        <v>12402.8</v>
      </c>
      <c r="U88">
        <v>1087</v>
      </c>
      <c r="V88">
        <f t="shared" si="122"/>
        <v>14173.3</v>
      </c>
      <c r="W88">
        <v>1187</v>
      </c>
      <c r="X88">
        <f t="shared" si="123"/>
        <v>15987.1</v>
      </c>
      <c r="Y88">
        <v>1287</v>
      </c>
      <c r="Z88">
        <f t="shared" si="124"/>
        <v>17834.900000000001</v>
      </c>
      <c r="AA88">
        <v>1387</v>
      </c>
      <c r="AB88">
        <f t="shared" si="125"/>
        <v>19446.400000000001</v>
      </c>
      <c r="AC88">
        <v>1487</v>
      </c>
      <c r="AD88">
        <f t="shared" si="126"/>
        <v>21604</v>
      </c>
      <c r="AE88">
        <v>1587</v>
      </c>
      <c r="AF88">
        <f t="shared" si="127"/>
        <v>23511.7</v>
      </c>
      <c r="AG88">
        <v>1687</v>
      </c>
      <c r="AH88">
        <f t="shared" si="128"/>
        <v>25424.7</v>
      </c>
      <c r="AI88">
        <v>1787</v>
      </c>
      <c r="AJ88">
        <f t="shared" si="129"/>
        <v>27336.7</v>
      </c>
    </row>
    <row r="89" spans="1:36" x14ac:dyDescent="0.3">
      <c r="A89">
        <v>88</v>
      </c>
      <c r="C89">
        <v>188</v>
      </c>
      <c r="E89">
        <v>288</v>
      </c>
      <c r="G89">
        <v>388</v>
      </c>
      <c r="H89">
        <f t="shared" si="116"/>
        <v>3253.6</v>
      </c>
      <c r="I89">
        <v>488</v>
      </c>
      <c r="J89">
        <f t="shared" si="117"/>
        <v>4545</v>
      </c>
      <c r="K89">
        <v>588</v>
      </c>
      <c r="M89">
        <v>688</v>
      </c>
      <c r="N89">
        <f t="shared" si="118"/>
        <v>7455</v>
      </c>
      <c r="O89">
        <v>788</v>
      </c>
      <c r="P89">
        <f t="shared" si="119"/>
        <v>9042.4</v>
      </c>
      <c r="Q89">
        <v>888</v>
      </c>
      <c r="R89">
        <f t="shared" si="120"/>
        <v>10701</v>
      </c>
      <c r="S89">
        <v>988</v>
      </c>
      <c r="T89">
        <f t="shared" si="121"/>
        <v>12420.2</v>
      </c>
      <c r="U89">
        <v>1088</v>
      </c>
      <c r="V89">
        <f t="shared" si="122"/>
        <v>14191.2</v>
      </c>
      <c r="W89">
        <v>1188</v>
      </c>
      <c r="X89">
        <f t="shared" si="123"/>
        <v>16005.4</v>
      </c>
      <c r="Y89">
        <v>1288</v>
      </c>
      <c r="Z89">
        <f t="shared" si="124"/>
        <v>17853.599999999999</v>
      </c>
      <c r="AA89">
        <v>1388</v>
      </c>
      <c r="AB89">
        <f t="shared" si="125"/>
        <v>19427.599999999999</v>
      </c>
      <c r="AC89">
        <v>1488</v>
      </c>
      <c r="AD89">
        <f t="shared" si="126"/>
        <v>21623</v>
      </c>
      <c r="AE89">
        <v>1588</v>
      </c>
      <c r="AF89">
        <f t="shared" si="127"/>
        <v>23530.799999999999</v>
      </c>
      <c r="AG89">
        <v>1688</v>
      </c>
      <c r="AH89">
        <f t="shared" si="128"/>
        <v>25443.8</v>
      </c>
      <c r="AI89">
        <v>1788</v>
      </c>
      <c r="AJ89">
        <f t="shared" si="129"/>
        <v>27355.8</v>
      </c>
    </row>
    <row r="90" spans="1:36" x14ac:dyDescent="0.3">
      <c r="A90">
        <v>89</v>
      </c>
      <c r="C90">
        <v>189</v>
      </c>
      <c r="E90">
        <v>289</v>
      </c>
      <c r="G90">
        <v>389</v>
      </c>
      <c r="H90">
        <f t="shared" si="116"/>
        <v>3265.8</v>
      </c>
      <c r="I90">
        <v>489</v>
      </c>
      <c r="J90">
        <f t="shared" si="117"/>
        <v>4558.5</v>
      </c>
      <c r="K90">
        <v>589</v>
      </c>
      <c r="M90">
        <v>689</v>
      </c>
      <c r="N90">
        <f t="shared" si="118"/>
        <v>7470.5</v>
      </c>
      <c r="O90">
        <v>789</v>
      </c>
      <c r="P90">
        <f t="shared" si="119"/>
        <v>9058.7000000000007</v>
      </c>
      <c r="Q90">
        <v>889</v>
      </c>
      <c r="R90">
        <f t="shared" si="120"/>
        <v>10718</v>
      </c>
      <c r="S90">
        <v>989</v>
      </c>
      <c r="T90">
        <f t="shared" si="121"/>
        <v>12437.6</v>
      </c>
      <c r="U90">
        <v>1089</v>
      </c>
      <c r="V90">
        <f t="shared" si="122"/>
        <v>14209.1</v>
      </c>
      <c r="W90">
        <v>1189</v>
      </c>
      <c r="X90">
        <f t="shared" si="123"/>
        <v>16023.7</v>
      </c>
      <c r="Y90">
        <v>1289</v>
      </c>
      <c r="Z90">
        <f t="shared" si="124"/>
        <v>17872.3</v>
      </c>
      <c r="AA90">
        <v>1389</v>
      </c>
      <c r="AB90">
        <f t="shared" si="125"/>
        <v>19408.8</v>
      </c>
      <c r="AC90">
        <v>1489</v>
      </c>
      <c r="AD90">
        <f t="shared" si="126"/>
        <v>21642</v>
      </c>
      <c r="AE90">
        <v>1589</v>
      </c>
      <c r="AF90">
        <f t="shared" si="127"/>
        <v>23549.9</v>
      </c>
      <c r="AG90">
        <v>1689</v>
      </c>
      <c r="AH90">
        <f t="shared" si="128"/>
        <v>25462.9</v>
      </c>
      <c r="AI90">
        <v>1789</v>
      </c>
      <c r="AJ90">
        <f t="shared" si="129"/>
        <v>27374.9</v>
      </c>
    </row>
    <row r="91" spans="1:36" x14ac:dyDescent="0.3">
      <c r="A91">
        <v>90</v>
      </c>
      <c r="B91">
        <v>374</v>
      </c>
      <c r="C91">
        <v>190</v>
      </c>
      <c r="D91">
        <v>1136</v>
      </c>
      <c r="E91">
        <v>290</v>
      </c>
      <c r="F91">
        <v>2123</v>
      </c>
      <c r="G91">
        <v>390</v>
      </c>
      <c r="H91">
        <v>3278</v>
      </c>
      <c r="I91">
        <v>490</v>
      </c>
      <c r="J91">
        <v>4572</v>
      </c>
      <c r="K91">
        <v>590</v>
      </c>
      <c r="L91">
        <v>5980</v>
      </c>
      <c r="M91">
        <v>690</v>
      </c>
      <c r="N91">
        <v>7486</v>
      </c>
      <c r="O91">
        <v>790</v>
      </c>
      <c r="P91">
        <v>9075</v>
      </c>
      <c r="Q91">
        <v>890</v>
      </c>
      <c r="R91">
        <v>10735</v>
      </c>
      <c r="S91">
        <v>990</v>
      </c>
      <c r="T91">
        <v>12455</v>
      </c>
      <c r="U91">
        <v>1090</v>
      </c>
      <c r="V91">
        <v>14227</v>
      </c>
      <c r="W91">
        <v>1190</v>
      </c>
      <c r="X91">
        <v>16042</v>
      </c>
      <c r="Y91">
        <v>1290</v>
      </c>
      <c r="Z91">
        <v>17891</v>
      </c>
      <c r="AA91">
        <v>1390</v>
      </c>
      <c r="AB91">
        <v>19766</v>
      </c>
      <c r="AC91">
        <v>1490</v>
      </c>
      <c r="AD91">
        <v>21661</v>
      </c>
      <c r="AE91">
        <v>1590</v>
      </c>
      <c r="AF91">
        <v>23569</v>
      </c>
      <c r="AG91">
        <v>1690</v>
      </c>
      <c r="AH91">
        <v>25482</v>
      </c>
      <c r="AI91">
        <v>1790</v>
      </c>
      <c r="AJ91">
        <v>27394</v>
      </c>
    </row>
    <row r="92" spans="1:36" x14ac:dyDescent="0.3">
      <c r="A92">
        <v>91</v>
      </c>
      <c r="C92">
        <v>191</v>
      </c>
      <c r="D92" s="21">
        <f>1136+((1226-1136)/10)*(C92-190)</f>
        <v>1145</v>
      </c>
      <c r="E92">
        <v>291</v>
      </c>
      <c r="G92">
        <v>391</v>
      </c>
      <c r="H92">
        <f>3278+((3402-3278)/10)*(G92-390)</f>
        <v>3290.4</v>
      </c>
      <c r="I92">
        <v>491</v>
      </c>
      <c r="J92">
        <f>4572+((4708-4572)/10)*(I92-490)</f>
        <v>4585.6000000000004</v>
      </c>
      <c r="K92">
        <v>591</v>
      </c>
      <c r="L92">
        <f>5980+((6127-5980)/10)*(K92-590)</f>
        <v>5994.7</v>
      </c>
      <c r="M92">
        <v>691</v>
      </c>
      <c r="N92">
        <f>7486+((7641-7486)/10)*(M92-690)</f>
        <v>7501.5</v>
      </c>
      <c r="O92">
        <v>791</v>
      </c>
      <c r="P92">
        <f>9075+((9238-9075)/10)*(O92-790)</f>
        <v>9091.2999999999993</v>
      </c>
      <c r="Q92">
        <v>891</v>
      </c>
      <c r="R92">
        <f>10904+((10904-10735)/10)*(Q92-890)</f>
        <v>10920.9</v>
      </c>
      <c r="S92">
        <v>991</v>
      </c>
      <c r="T92">
        <f>12455+((12630-12455)/10)*(S92-990)</f>
        <v>12472.5</v>
      </c>
      <c r="U92">
        <v>1091</v>
      </c>
      <c r="V92">
        <f>14227+((14407-14227)/10)*(U92-1090)</f>
        <v>14245</v>
      </c>
      <c r="W92">
        <v>1191</v>
      </c>
      <c r="X92">
        <f>16042+((16225-16042)/10)*(W92-1190)</f>
        <v>16060.3</v>
      </c>
      <c r="Y92">
        <v>1291</v>
      </c>
      <c r="Z92">
        <f>17891+((18077-17891)/10)*(Y92-1290)</f>
        <v>17909.599999999999</v>
      </c>
      <c r="AA92">
        <v>1391</v>
      </c>
      <c r="AB92">
        <f>19955+((19955-19766)/10)*(AA92-1390)</f>
        <v>19973.900000000001</v>
      </c>
      <c r="AC92">
        <v>1491</v>
      </c>
      <c r="AD92">
        <f>21661+((21852-21661)/10)*(AC92-1490)</f>
        <v>21680.1</v>
      </c>
      <c r="AE92">
        <v>1591</v>
      </c>
      <c r="AF92">
        <f>23790+((23790-23569)/10)*(AE92-1590)</f>
        <v>23812.1</v>
      </c>
      <c r="AG92">
        <v>1691</v>
      </c>
      <c r="AH92">
        <f>25482+((25673-25482)/10)*(AG92-1690)</f>
        <v>25501.1</v>
      </c>
      <c r="AI92">
        <v>1791</v>
      </c>
      <c r="AJ92">
        <f>27394+((27585-27394)/10)*(AI92-1790)</f>
        <v>27413.1</v>
      </c>
    </row>
    <row r="93" spans="1:36" x14ac:dyDescent="0.3">
      <c r="A93">
        <v>92</v>
      </c>
      <c r="C93">
        <v>192</v>
      </c>
      <c r="D93" s="21">
        <f t="shared" ref="D93:D100" si="130">1136+((1226-1136)/10)*(C93-190)</f>
        <v>1154</v>
      </c>
      <c r="E93">
        <v>292</v>
      </c>
      <c r="G93">
        <v>392</v>
      </c>
      <c r="H93">
        <f t="shared" ref="H93:H100" si="131">3278+((3402-3278)/10)*(G93-390)</f>
        <v>3302.8</v>
      </c>
      <c r="I93">
        <v>492</v>
      </c>
      <c r="J93">
        <f t="shared" ref="J93:J100" si="132">4572+((4708-4572)/10)*(I93-490)</f>
        <v>4599.2</v>
      </c>
      <c r="K93">
        <v>592</v>
      </c>
      <c r="L93">
        <f t="shared" ref="L93:L100" si="133">5980+((6127-5980)/10)*(K93-590)</f>
        <v>6009.4</v>
      </c>
      <c r="M93">
        <v>692</v>
      </c>
      <c r="N93">
        <f t="shared" ref="N93:N100" si="134">7486+((7641-7486)/10)*(M93-690)</f>
        <v>7517</v>
      </c>
      <c r="O93">
        <v>792</v>
      </c>
      <c r="P93">
        <f t="shared" ref="P93:P100" si="135">9075+((9238-9075)/10)*(O93-790)</f>
        <v>9107.6</v>
      </c>
      <c r="Q93">
        <v>892</v>
      </c>
      <c r="R93">
        <f t="shared" ref="R93:R100" si="136">10904+((10904-10735)/10)*(Q93-890)</f>
        <v>10937.8</v>
      </c>
      <c r="S93">
        <v>992</v>
      </c>
      <c r="T93">
        <f t="shared" ref="T93:T100" si="137">12455+((12630-12455)/10)*(S93-990)</f>
        <v>12490</v>
      </c>
      <c r="U93">
        <v>1092</v>
      </c>
      <c r="V93">
        <f t="shared" ref="V93:V100" si="138">14227+((14407-14227)/10)*(U93-1090)</f>
        <v>14263</v>
      </c>
      <c r="W93">
        <v>1192</v>
      </c>
      <c r="X93">
        <f t="shared" ref="X93:X100" si="139">16042+((16225-16042)/10)*(W93-1190)</f>
        <v>16078.6</v>
      </c>
      <c r="Y93">
        <v>1292</v>
      </c>
      <c r="Z93">
        <f t="shared" ref="Z93:Z100" si="140">17891+((18077-17891)/10)*(Y93-1290)</f>
        <v>17928.2</v>
      </c>
      <c r="AA93">
        <v>1392</v>
      </c>
      <c r="AB93">
        <f t="shared" ref="AB93:AB100" si="141">19955+((19955-19766)/10)*(AA93-1390)</f>
        <v>19992.8</v>
      </c>
      <c r="AC93">
        <v>1492</v>
      </c>
      <c r="AD93">
        <f t="shared" ref="AD93:AD100" si="142">21661+((21852-21661)/10)*(AC93-1490)</f>
        <v>21699.200000000001</v>
      </c>
      <c r="AE93">
        <v>1592</v>
      </c>
      <c r="AF93">
        <f t="shared" ref="AF93:AF100" si="143">23790+((23790-23569)/10)*(AE93-1590)</f>
        <v>23834.2</v>
      </c>
      <c r="AG93">
        <v>1692</v>
      </c>
      <c r="AH93">
        <f t="shared" ref="AH93:AH100" si="144">25482+((25673-25482)/10)*(AG93-1690)</f>
        <v>25520.2</v>
      </c>
      <c r="AI93">
        <v>1792</v>
      </c>
      <c r="AJ93">
        <f t="shared" ref="AJ93:AJ100" si="145">27394+((27585-27394)/10)*(AI93-1790)</f>
        <v>27432.2</v>
      </c>
    </row>
    <row r="94" spans="1:36" x14ac:dyDescent="0.3">
      <c r="A94">
        <v>93</v>
      </c>
      <c r="C94">
        <v>193</v>
      </c>
      <c r="D94" s="21">
        <f t="shared" si="130"/>
        <v>1163</v>
      </c>
      <c r="E94">
        <v>293</v>
      </c>
      <c r="G94">
        <v>393</v>
      </c>
      <c r="H94">
        <f t="shared" si="131"/>
        <v>3315.2</v>
      </c>
      <c r="I94">
        <v>493</v>
      </c>
      <c r="J94">
        <f t="shared" si="132"/>
        <v>4612.8</v>
      </c>
      <c r="K94">
        <v>593</v>
      </c>
      <c r="L94">
        <f t="shared" si="133"/>
        <v>6024.1</v>
      </c>
      <c r="M94">
        <v>693</v>
      </c>
      <c r="N94">
        <f t="shared" si="134"/>
        <v>7532.5</v>
      </c>
      <c r="O94">
        <v>793</v>
      </c>
      <c r="P94">
        <f t="shared" si="135"/>
        <v>9123.9</v>
      </c>
      <c r="Q94">
        <v>893</v>
      </c>
      <c r="R94">
        <f t="shared" si="136"/>
        <v>10954.7</v>
      </c>
      <c r="S94">
        <v>993</v>
      </c>
      <c r="T94">
        <f t="shared" si="137"/>
        <v>12507.5</v>
      </c>
      <c r="U94">
        <v>1093</v>
      </c>
      <c r="V94">
        <f t="shared" si="138"/>
        <v>14281</v>
      </c>
      <c r="W94">
        <v>1193</v>
      </c>
      <c r="X94">
        <f t="shared" si="139"/>
        <v>16096.9</v>
      </c>
      <c r="Y94">
        <v>1293</v>
      </c>
      <c r="Z94">
        <f t="shared" si="140"/>
        <v>17946.8</v>
      </c>
      <c r="AA94">
        <v>1393</v>
      </c>
      <c r="AB94">
        <f t="shared" si="141"/>
        <v>20011.7</v>
      </c>
      <c r="AC94">
        <v>1493</v>
      </c>
      <c r="AD94">
        <f t="shared" si="142"/>
        <v>21718.3</v>
      </c>
      <c r="AE94">
        <v>1593</v>
      </c>
      <c r="AF94">
        <f t="shared" si="143"/>
        <v>23856.3</v>
      </c>
      <c r="AG94">
        <v>1693</v>
      </c>
      <c r="AH94">
        <f t="shared" si="144"/>
        <v>25539.3</v>
      </c>
      <c r="AI94">
        <v>1793</v>
      </c>
      <c r="AJ94">
        <f t="shared" si="145"/>
        <v>27451.3</v>
      </c>
    </row>
    <row r="95" spans="1:36" x14ac:dyDescent="0.3">
      <c r="A95">
        <v>94</v>
      </c>
      <c r="C95">
        <v>194</v>
      </c>
      <c r="D95" s="21">
        <f t="shared" si="130"/>
        <v>1172</v>
      </c>
      <c r="E95">
        <v>294</v>
      </c>
      <c r="G95">
        <v>394</v>
      </c>
      <c r="H95">
        <f t="shared" si="131"/>
        <v>3327.6</v>
      </c>
      <c r="I95">
        <v>494</v>
      </c>
      <c r="J95">
        <f t="shared" si="132"/>
        <v>4626.3999999999996</v>
      </c>
      <c r="K95">
        <v>594</v>
      </c>
      <c r="L95">
        <f t="shared" si="133"/>
        <v>6038.8</v>
      </c>
      <c r="M95">
        <v>694</v>
      </c>
      <c r="N95">
        <f t="shared" si="134"/>
        <v>7548</v>
      </c>
      <c r="O95">
        <v>794</v>
      </c>
      <c r="P95">
        <f t="shared" si="135"/>
        <v>9140.2000000000007</v>
      </c>
      <c r="Q95">
        <v>894</v>
      </c>
      <c r="R95">
        <f t="shared" si="136"/>
        <v>10971.6</v>
      </c>
      <c r="S95">
        <v>994</v>
      </c>
      <c r="T95">
        <f t="shared" si="137"/>
        <v>12525</v>
      </c>
      <c r="U95">
        <v>1094</v>
      </c>
      <c r="V95">
        <f t="shared" si="138"/>
        <v>14299</v>
      </c>
      <c r="W95">
        <v>1194</v>
      </c>
      <c r="X95">
        <f t="shared" si="139"/>
        <v>16115.2</v>
      </c>
      <c r="Y95">
        <v>1294</v>
      </c>
      <c r="Z95">
        <f t="shared" si="140"/>
        <v>17965.400000000001</v>
      </c>
      <c r="AA95">
        <v>1394</v>
      </c>
      <c r="AB95">
        <f t="shared" si="141"/>
        <v>20030.599999999999</v>
      </c>
      <c r="AC95">
        <v>1494</v>
      </c>
      <c r="AD95">
        <f t="shared" si="142"/>
        <v>21737.4</v>
      </c>
      <c r="AE95">
        <v>1594</v>
      </c>
      <c r="AF95">
        <f t="shared" si="143"/>
        <v>23878.400000000001</v>
      </c>
      <c r="AG95">
        <v>1694</v>
      </c>
      <c r="AH95">
        <f t="shared" si="144"/>
        <v>25558.400000000001</v>
      </c>
      <c r="AI95">
        <v>1794</v>
      </c>
      <c r="AJ95">
        <f t="shared" si="145"/>
        <v>27470.400000000001</v>
      </c>
    </row>
    <row r="96" spans="1:36" x14ac:dyDescent="0.3">
      <c r="A96">
        <v>95</v>
      </c>
      <c r="C96">
        <v>195</v>
      </c>
      <c r="D96" s="21">
        <f t="shared" si="130"/>
        <v>1181</v>
      </c>
      <c r="E96">
        <v>295</v>
      </c>
      <c r="G96">
        <v>395</v>
      </c>
      <c r="H96">
        <f t="shared" si="131"/>
        <v>3340</v>
      </c>
      <c r="I96">
        <v>495</v>
      </c>
      <c r="J96">
        <f t="shared" si="132"/>
        <v>4640</v>
      </c>
      <c r="K96">
        <v>595</v>
      </c>
      <c r="L96">
        <f t="shared" si="133"/>
        <v>6053.5</v>
      </c>
      <c r="M96">
        <v>695</v>
      </c>
      <c r="N96">
        <f t="shared" si="134"/>
        <v>7563.5</v>
      </c>
      <c r="O96">
        <v>795</v>
      </c>
      <c r="P96">
        <f t="shared" si="135"/>
        <v>9156.5</v>
      </c>
      <c r="Q96">
        <v>895</v>
      </c>
      <c r="R96">
        <f t="shared" si="136"/>
        <v>10988.5</v>
      </c>
      <c r="S96">
        <v>995</v>
      </c>
      <c r="T96">
        <f t="shared" si="137"/>
        <v>12542.5</v>
      </c>
      <c r="U96">
        <v>1095</v>
      </c>
      <c r="V96">
        <f t="shared" si="138"/>
        <v>14317</v>
      </c>
      <c r="W96">
        <v>1195</v>
      </c>
      <c r="X96">
        <f t="shared" si="139"/>
        <v>16133.5</v>
      </c>
      <c r="Y96">
        <v>1295</v>
      </c>
      <c r="Z96">
        <f t="shared" si="140"/>
        <v>17984</v>
      </c>
      <c r="AA96">
        <v>1395</v>
      </c>
      <c r="AB96">
        <f t="shared" si="141"/>
        <v>20049.5</v>
      </c>
      <c r="AC96">
        <v>1495</v>
      </c>
      <c r="AD96">
        <f t="shared" si="142"/>
        <v>21756.5</v>
      </c>
      <c r="AE96">
        <v>1595</v>
      </c>
      <c r="AF96">
        <f t="shared" si="143"/>
        <v>23900.5</v>
      </c>
      <c r="AG96">
        <v>1695</v>
      </c>
      <c r="AH96">
        <f t="shared" si="144"/>
        <v>25577.5</v>
      </c>
      <c r="AI96">
        <v>1795</v>
      </c>
      <c r="AJ96">
        <f t="shared" si="145"/>
        <v>27489.5</v>
      </c>
    </row>
    <row r="97" spans="1:36" x14ac:dyDescent="0.3">
      <c r="A97">
        <v>96</v>
      </c>
      <c r="C97">
        <v>196</v>
      </c>
      <c r="D97" s="21">
        <f t="shared" si="130"/>
        <v>1190</v>
      </c>
      <c r="E97">
        <v>296</v>
      </c>
      <c r="G97">
        <v>396</v>
      </c>
      <c r="H97">
        <f t="shared" si="131"/>
        <v>3352.4</v>
      </c>
      <c r="I97">
        <v>496</v>
      </c>
      <c r="J97">
        <f t="shared" si="132"/>
        <v>4653.6000000000004</v>
      </c>
      <c r="K97">
        <v>596</v>
      </c>
      <c r="L97">
        <f t="shared" si="133"/>
        <v>6068.2</v>
      </c>
      <c r="M97">
        <v>696</v>
      </c>
      <c r="N97">
        <f t="shared" si="134"/>
        <v>7579</v>
      </c>
      <c r="O97">
        <v>796</v>
      </c>
      <c r="P97">
        <f t="shared" si="135"/>
        <v>9172.7999999999993</v>
      </c>
      <c r="Q97">
        <v>896</v>
      </c>
      <c r="R97">
        <f t="shared" si="136"/>
        <v>11005.4</v>
      </c>
      <c r="S97">
        <v>996</v>
      </c>
      <c r="T97">
        <f t="shared" si="137"/>
        <v>12560</v>
      </c>
      <c r="U97">
        <v>1096</v>
      </c>
      <c r="V97">
        <f t="shared" si="138"/>
        <v>14335</v>
      </c>
      <c r="W97">
        <v>1196</v>
      </c>
      <c r="X97">
        <f t="shared" si="139"/>
        <v>16151.8</v>
      </c>
      <c r="Y97">
        <v>1296</v>
      </c>
      <c r="Z97">
        <f t="shared" si="140"/>
        <v>18002.599999999999</v>
      </c>
      <c r="AA97">
        <v>1396</v>
      </c>
      <c r="AB97">
        <f t="shared" si="141"/>
        <v>20068.400000000001</v>
      </c>
      <c r="AC97">
        <v>1496</v>
      </c>
      <c r="AD97">
        <f t="shared" si="142"/>
        <v>21775.599999999999</v>
      </c>
      <c r="AE97">
        <v>1596</v>
      </c>
      <c r="AF97">
        <f t="shared" si="143"/>
        <v>23922.6</v>
      </c>
      <c r="AG97">
        <v>1696</v>
      </c>
      <c r="AH97">
        <f t="shared" si="144"/>
        <v>25596.6</v>
      </c>
      <c r="AI97">
        <v>1796</v>
      </c>
      <c r="AJ97">
        <f t="shared" si="145"/>
        <v>27508.6</v>
      </c>
    </row>
    <row r="98" spans="1:36" x14ac:dyDescent="0.3">
      <c r="A98">
        <v>97</v>
      </c>
      <c r="C98">
        <v>197</v>
      </c>
      <c r="D98" s="21">
        <f t="shared" si="130"/>
        <v>1199</v>
      </c>
      <c r="E98">
        <v>297</v>
      </c>
      <c r="G98">
        <v>397</v>
      </c>
      <c r="H98">
        <f t="shared" si="131"/>
        <v>3364.8</v>
      </c>
      <c r="I98">
        <v>497</v>
      </c>
      <c r="J98">
        <f t="shared" si="132"/>
        <v>4667.2</v>
      </c>
      <c r="K98">
        <v>597</v>
      </c>
      <c r="L98">
        <f t="shared" si="133"/>
        <v>6082.9</v>
      </c>
      <c r="M98">
        <v>697</v>
      </c>
      <c r="N98">
        <f t="shared" si="134"/>
        <v>7594.5</v>
      </c>
      <c r="O98">
        <v>797</v>
      </c>
      <c r="P98">
        <f t="shared" si="135"/>
        <v>9189.1</v>
      </c>
      <c r="Q98">
        <v>897</v>
      </c>
      <c r="R98">
        <f t="shared" si="136"/>
        <v>11022.3</v>
      </c>
      <c r="S98">
        <v>997</v>
      </c>
      <c r="T98">
        <f t="shared" si="137"/>
        <v>12577.5</v>
      </c>
      <c r="U98">
        <v>1097</v>
      </c>
      <c r="V98">
        <f t="shared" si="138"/>
        <v>14353</v>
      </c>
      <c r="W98">
        <v>1197</v>
      </c>
      <c r="X98">
        <f t="shared" si="139"/>
        <v>16170.1</v>
      </c>
      <c r="Y98">
        <v>1297</v>
      </c>
      <c r="Z98">
        <f t="shared" si="140"/>
        <v>18021.2</v>
      </c>
      <c r="AA98">
        <v>1397</v>
      </c>
      <c r="AB98">
        <f t="shared" si="141"/>
        <v>20087.3</v>
      </c>
      <c r="AC98">
        <v>1497</v>
      </c>
      <c r="AD98">
        <f t="shared" si="142"/>
        <v>21794.7</v>
      </c>
      <c r="AE98">
        <v>1597</v>
      </c>
      <c r="AF98">
        <f t="shared" si="143"/>
        <v>23944.7</v>
      </c>
      <c r="AG98">
        <v>1697</v>
      </c>
      <c r="AH98">
        <f t="shared" si="144"/>
        <v>25615.7</v>
      </c>
      <c r="AI98">
        <v>1797</v>
      </c>
      <c r="AJ98">
        <f t="shared" si="145"/>
        <v>27527.7</v>
      </c>
    </row>
    <row r="99" spans="1:36" x14ac:dyDescent="0.3">
      <c r="A99">
        <v>98</v>
      </c>
      <c r="C99">
        <v>198</v>
      </c>
      <c r="D99" s="21">
        <f t="shared" si="130"/>
        <v>1208</v>
      </c>
      <c r="E99">
        <v>298</v>
      </c>
      <c r="G99">
        <v>398</v>
      </c>
      <c r="H99">
        <f t="shared" si="131"/>
        <v>3377.2</v>
      </c>
      <c r="I99">
        <v>498</v>
      </c>
      <c r="J99">
        <f t="shared" si="132"/>
        <v>4680.8</v>
      </c>
      <c r="K99">
        <v>598</v>
      </c>
      <c r="L99">
        <f t="shared" si="133"/>
        <v>6097.6</v>
      </c>
      <c r="M99">
        <v>698</v>
      </c>
      <c r="N99">
        <f t="shared" si="134"/>
        <v>7610</v>
      </c>
      <c r="O99">
        <v>798</v>
      </c>
      <c r="P99">
        <f t="shared" si="135"/>
        <v>9205.4</v>
      </c>
      <c r="Q99">
        <v>898</v>
      </c>
      <c r="R99">
        <f t="shared" si="136"/>
        <v>11039.2</v>
      </c>
      <c r="S99">
        <v>998</v>
      </c>
      <c r="T99">
        <f t="shared" si="137"/>
        <v>12595</v>
      </c>
      <c r="U99">
        <v>1098</v>
      </c>
      <c r="V99">
        <f t="shared" si="138"/>
        <v>14371</v>
      </c>
      <c r="W99">
        <v>1198</v>
      </c>
      <c r="X99">
        <f t="shared" si="139"/>
        <v>16188.4</v>
      </c>
      <c r="Y99">
        <v>1298</v>
      </c>
      <c r="Z99">
        <f t="shared" si="140"/>
        <v>18039.8</v>
      </c>
      <c r="AA99">
        <v>1398</v>
      </c>
      <c r="AB99">
        <f t="shared" si="141"/>
        <v>20106.2</v>
      </c>
      <c r="AC99">
        <v>1498</v>
      </c>
      <c r="AD99">
        <f t="shared" si="142"/>
        <v>21813.8</v>
      </c>
      <c r="AE99">
        <v>1598</v>
      </c>
      <c r="AF99">
        <f t="shared" si="143"/>
        <v>23966.799999999999</v>
      </c>
      <c r="AG99">
        <v>1698</v>
      </c>
      <c r="AH99">
        <f t="shared" si="144"/>
        <v>25634.799999999999</v>
      </c>
      <c r="AI99">
        <v>1798</v>
      </c>
      <c r="AJ99">
        <f t="shared" si="145"/>
        <v>27546.799999999999</v>
      </c>
    </row>
    <row r="100" spans="1:36" x14ac:dyDescent="0.3">
      <c r="A100">
        <v>99</v>
      </c>
      <c r="C100">
        <v>199</v>
      </c>
      <c r="D100" s="21">
        <f t="shared" si="130"/>
        <v>1217</v>
      </c>
      <c r="E100">
        <v>299</v>
      </c>
      <c r="G100">
        <v>399</v>
      </c>
      <c r="H100">
        <f t="shared" si="131"/>
        <v>3389.6</v>
      </c>
      <c r="I100">
        <v>499</v>
      </c>
      <c r="J100">
        <f t="shared" si="132"/>
        <v>4694.3999999999996</v>
      </c>
      <c r="K100">
        <v>599</v>
      </c>
      <c r="L100">
        <f t="shared" si="133"/>
        <v>6112.3</v>
      </c>
      <c r="M100">
        <v>699</v>
      </c>
      <c r="N100">
        <f t="shared" si="134"/>
        <v>7625.5</v>
      </c>
      <c r="O100">
        <v>799</v>
      </c>
      <c r="P100">
        <f t="shared" si="135"/>
        <v>9221.7000000000007</v>
      </c>
      <c r="Q100">
        <v>899</v>
      </c>
      <c r="R100">
        <f t="shared" si="136"/>
        <v>11056.1</v>
      </c>
      <c r="S100">
        <v>999</v>
      </c>
      <c r="T100">
        <f t="shared" si="137"/>
        <v>12612.5</v>
      </c>
      <c r="U100">
        <v>1099</v>
      </c>
      <c r="V100">
        <f t="shared" si="138"/>
        <v>14389</v>
      </c>
      <c r="W100">
        <v>1199</v>
      </c>
      <c r="X100">
        <f t="shared" si="139"/>
        <v>16206.7</v>
      </c>
      <c r="Y100">
        <v>1299</v>
      </c>
      <c r="Z100">
        <f t="shared" si="140"/>
        <v>18058.400000000001</v>
      </c>
      <c r="AA100">
        <v>1399</v>
      </c>
      <c r="AB100">
        <f t="shared" si="141"/>
        <v>20125.099999999999</v>
      </c>
      <c r="AC100">
        <v>1499</v>
      </c>
      <c r="AD100">
        <f t="shared" si="142"/>
        <v>21832.9</v>
      </c>
      <c r="AE100">
        <v>1599</v>
      </c>
      <c r="AF100">
        <f t="shared" si="143"/>
        <v>23988.9</v>
      </c>
      <c r="AG100">
        <v>1699</v>
      </c>
      <c r="AH100">
        <f t="shared" si="144"/>
        <v>25653.9</v>
      </c>
      <c r="AI100">
        <v>1799</v>
      </c>
      <c r="AJ100">
        <f t="shared" si="145"/>
        <v>27565.9</v>
      </c>
    </row>
    <row r="101" spans="1:36" x14ac:dyDescent="0.3">
      <c r="A101">
        <v>100</v>
      </c>
      <c r="B101">
        <v>437</v>
      </c>
      <c r="C101">
        <v>200</v>
      </c>
      <c r="D101">
        <v>1226</v>
      </c>
      <c r="E101">
        <v>300</v>
      </c>
      <c r="F101">
        <v>2231</v>
      </c>
      <c r="G101">
        <v>400</v>
      </c>
      <c r="H101">
        <v>3402</v>
      </c>
      <c r="I101">
        <v>500</v>
      </c>
      <c r="J101">
        <v>4708</v>
      </c>
      <c r="K101">
        <v>600</v>
      </c>
      <c r="L101">
        <v>6127</v>
      </c>
      <c r="M101">
        <v>700</v>
      </c>
      <c r="N101">
        <v>7641</v>
      </c>
      <c r="O101">
        <v>800</v>
      </c>
      <c r="P101">
        <v>9238</v>
      </c>
      <c r="Q101">
        <v>900</v>
      </c>
      <c r="R101">
        <v>10904</v>
      </c>
      <c r="S101">
        <v>1000</v>
      </c>
      <c r="T101">
        <v>12630</v>
      </c>
      <c r="U101">
        <v>1100</v>
      </c>
      <c r="V101">
        <v>14407</v>
      </c>
      <c r="W101">
        <v>1200</v>
      </c>
      <c r="X101">
        <v>16225</v>
      </c>
      <c r="Y101">
        <v>1300</v>
      </c>
      <c r="Z101">
        <v>18077</v>
      </c>
      <c r="AA101">
        <v>1400</v>
      </c>
      <c r="AB101">
        <v>19955</v>
      </c>
      <c r="AC101">
        <v>1500</v>
      </c>
      <c r="AD101">
        <v>21852</v>
      </c>
      <c r="AE101">
        <v>1600</v>
      </c>
      <c r="AF101">
        <v>23790</v>
      </c>
      <c r="AG101">
        <v>1700</v>
      </c>
      <c r="AH101">
        <v>25673</v>
      </c>
      <c r="AI101">
        <v>1800</v>
      </c>
      <c r="AJ101">
        <v>27585</v>
      </c>
    </row>
    <row r="104" spans="1:36" x14ac:dyDescent="0.3">
      <c r="A104">
        <v>1800</v>
      </c>
      <c r="B104">
        <v>27585</v>
      </c>
      <c r="C104">
        <v>1900</v>
      </c>
      <c r="D104">
        <v>29487</v>
      </c>
      <c r="E104">
        <v>2000</v>
      </c>
      <c r="F104">
        <v>31373</v>
      </c>
      <c r="G104">
        <v>2100</v>
      </c>
      <c r="H104">
        <v>33237</v>
      </c>
      <c r="I104">
        <v>2200</v>
      </c>
      <c r="J104">
        <v>35070</v>
      </c>
      <c r="K104">
        <v>2300</v>
      </c>
      <c r="L104">
        <v>36864</v>
      </c>
      <c r="M104">
        <v>2400</v>
      </c>
      <c r="N104">
        <v>38612</v>
      </c>
      <c r="O104">
        <v>2500</v>
      </c>
      <c r="P104">
        <v>40304</v>
      </c>
      <c r="Q104">
        <v>2600</v>
      </c>
      <c r="R104">
        <v>41931</v>
      </c>
      <c r="S104">
        <v>2700</v>
      </c>
      <c r="T104">
        <v>43480</v>
      </c>
      <c r="U104">
        <v>2800</v>
      </c>
      <c r="V104">
        <v>44940</v>
      </c>
      <c r="W104">
        <v>2900</v>
      </c>
      <c r="X104">
        <v>46294</v>
      </c>
      <c r="Y104">
        <v>3000</v>
      </c>
      <c r="Z104">
        <v>47523</v>
      </c>
      <c r="AA104">
        <v>3100</v>
      </c>
      <c r="AB104">
        <v>48600</v>
      </c>
      <c r="AC104">
        <v>3200</v>
      </c>
      <c r="AD104">
        <v>49486</v>
      </c>
      <c r="AE104">
        <v>3300</v>
      </c>
      <c r="AF104">
        <v>50099</v>
      </c>
      <c r="AG104">
        <v>3400</v>
      </c>
      <c r="AI104">
        <v>3500</v>
      </c>
    </row>
    <row r="105" spans="1:36" x14ac:dyDescent="0.3">
      <c r="A105">
        <v>1801</v>
      </c>
      <c r="B105">
        <f>27585+((27775-27585)/10)*(A105-1800)</f>
        <v>27604</v>
      </c>
      <c r="C105">
        <v>1901</v>
      </c>
      <c r="D105">
        <f>29487+((29677-29487)/10)*(C105-1900)</f>
        <v>29506</v>
      </c>
      <c r="E105">
        <v>2001</v>
      </c>
      <c r="F105">
        <f>31373+((31561-31373)/10)*(E105-2000)</f>
        <v>31391.8</v>
      </c>
      <c r="G105">
        <v>2101</v>
      </c>
      <c r="H105">
        <f>33237+((33422-33237)/10)*(G105-2100)</f>
        <v>33255.5</v>
      </c>
      <c r="I105">
        <v>2201</v>
      </c>
      <c r="J105">
        <f>35070+((35251-35070)/10)*(I105-2200)</f>
        <v>35088.1</v>
      </c>
      <c r="K105">
        <v>2301</v>
      </c>
      <c r="L105">
        <f>36864+((37041-36864)/10)*(K105-2300)</f>
        <v>36881.699999999997</v>
      </c>
      <c r="M105">
        <v>2401</v>
      </c>
      <c r="N105">
        <f>38612+((38784-38612)/10)*(M105-2400)</f>
        <v>38629.199999999997</v>
      </c>
      <c r="O105">
        <v>2501</v>
      </c>
      <c r="P105">
        <f>40304+((40470-40304)/10)*(O105-2500)</f>
        <v>40320.6</v>
      </c>
      <c r="Q105">
        <v>2601</v>
      </c>
      <c r="R105">
        <f>41931+((42089-41931)/10)*(Q105-2600)</f>
        <v>41946.8</v>
      </c>
      <c r="S105">
        <v>2701</v>
      </c>
      <c r="T105">
        <f>43480+((43630-43480)/10)*(S105-2700)</f>
        <v>43495</v>
      </c>
      <c r="U105">
        <v>2801</v>
      </c>
      <c r="W105">
        <v>2901</v>
      </c>
      <c r="X105">
        <f>46294+((46423-46294)/10)*(W105-2900)</f>
        <v>46306.9</v>
      </c>
      <c r="Y105">
        <v>3001</v>
      </c>
      <c r="AA105">
        <v>3101</v>
      </c>
      <c r="AC105">
        <v>3201</v>
      </c>
      <c r="AE105">
        <v>3301</v>
      </c>
      <c r="AG105">
        <v>3401</v>
      </c>
      <c r="AI105">
        <v>3501</v>
      </c>
    </row>
    <row r="106" spans="1:36" x14ac:dyDescent="0.3">
      <c r="A106">
        <v>1802</v>
      </c>
      <c r="B106">
        <f t="shared" ref="B106:B113" si="146">27585+((27775-27585)/10)*(A106-1800)</f>
        <v>27623</v>
      </c>
      <c r="C106">
        <v>1902</v>
      </c>
      <c r="D106">
        <f t="shared" ref="D106:D113" si="147">29487+((29677-29487)/10)*(C106-1900)</f>
        <v>29525</v>
      </c>
      <c r="E106">
        <v>2002</v>
      </c>
      <c r="F106">
        <f t="shared" ref="F106:F113" si="148">31373+((31561-31373)/10)*(E106-2000)</f>
        <v>31410.6</v>
      </c>
      <c r="G106">
        <v>2102</v>
      </c>
      <c r="H106">
        <f t="shared" ref="H106:H113" si="149">33237+((33422-33237)/10)*(G106-2100)</f>
        <v>33274</v>
      </c>
      <c r="I106">
        <v>2202</v>
      </c>
      <c r="J106">
        <f t="shared" ref="J106:J113" si="150">35070+((35251-35070)/10)*(I106-2200)</f>
        <v>35106.199999999997</v>
      </c>
      <c r="K106">
        <v>2302</v>
      </c>
      <c r="L106">
        <f t="shared" ref="L106:L113" si="151">36864+((37041-36864)/10)*(K106-2300)</f>
        <v>36899.4</v>
      </c>
      <c r="M106">
        <v>2402</v>
      </c>
      <c r="N106">
        <f t="shared" ref="N106:N113" si="152">38612+((38784-38612)/10)*(M106-2400)</f>
        <v>38646.400000000001</v>
      </c>
      <c r="O106">
        <v>2502</v>
      </c>
      <c r="P106">
        <f t="shared" ref="P106:P113" si="153">40304+((40470-40304)/10)*(O106-2500)</f>
        <v>40337.199999999997</v>
      </c>
      <c r="Q106">
        <v>2602</v>
      </c>
      <c r="R106">
        <f t="shared" ref="R106:R113" si="154">41931+((42089-41931)/10)*(Q106-2600)</f>
        <v>41962.6</v>
      </c>
      <c r="S106">
        <v>2702</v>
      </c>
      <c r="T106">
        <f t="shared" ref="T106:T113" si="155">43480+((43630-43480)/10)*(S106-2700)</f>
        <v>43510</v>
      </c>
      <c r="U106">
        <v>2802</v>
      </c>
      <c r="W106">
        <v>2902</v>
      </c>
      <c r="X106">
        <f t="shared" ref="X106:X113" si="156">46294+((46423-46294)/10)*(W106-2900)</f>
        <v>46319.8</v>
      </c>
      <c r="Y106">
        <v>3002</v>
      </c>
      <c r="AA106">
        <v>3102</v>
      </c>
      <c r="AC106">
        <v>3202</v>
      </c>
      <c r="AE106">
        <v>3302</v>
      </c>
      <c r="AG106">
        <v>3402</v>
      </c>
      <c r="AI106">
        <v>3502</v>
      </c>
    </row>
    <row r="107" spans="1:36" x14ac:dyDescent="0.3">
      <c r="A107">
        <v>1803</v>
      </c>
      <c r="B107">
        <f t="shared" si="146"/>
        <v>27642</v>
      </c>
      <c r="C107">
        <v>1903</v>
      </c>
      <c r="D107">
        <f t="shared" si="147"/>
        <v>29544</v>
      </c>
      <c r="E107">
        <v>2003</v>
      </c>
      <c r="F107">
        <f t="shared" si="148"/>
        <v>31429.4</v>
      </c>
      <c r="G107">
        <v>2103</v>
      </c>
      <c r="H107">
        <f t="shared" si="149"/>
        <v>33292.5</v>
      </c>
      <c r="I107">
        <v>2203</v>
      </c>
      <c r="J107">
        <f t="shared" si="150"/>
        <v>35124.300000000003</v>
      </c>
      <c r="K107">
        <v>2303</v>
      </c>
      <c r="L107">
        <f t="shared" si="151"/>
        <v>36917.1</v>
      </c>
      <c r="M107">
        <v>2403</v>
      </c>
      <c r="N107">
        <f t="shared" si="152"/>
        <v>38663.599999999999</v>
      </c>
      <c r="O107">
        <v>2503</v>
      </c>
      <c r="P107">
        <f t="shared" si="153"/>
        <v>40353.800000000003</v>
      </c>
      <c r="Q107">
        <v>2603</v>
      </c>
      <c r="R107">
        <f t="shared" si="154"/>
        <v>41978.400000000001</v>
      </c>
      <c r="S107">
        <v>2703</v>
      </c>
      <c r="T107">
        <f t="shared" si="155"/>
        <v>43525</v>
      </c>
      <c r="U107">
        <v>2803</v>
      </c>
      <c r="W107">
        <v>2903</v>
      </c>
      <c r="X107">
        <f t="shared" si="156"/>
        <v>46332.7</v>
      </c>
      <c r="Y107">
        <v>3003</v>
      </c>
      <c r="AA107">
        <v>3103</v>
      </c>
      <c r="AC107">
        <v>3203</v>
      </c>
      <c r="AE107">
        <v>3303</v>
      </c>
      <c r="AG107">
        <v>3403</v>
      </c>
      <c r="AI107">
        <v>3503</v>
      </c>
    </row>
    <row r="108" spans="1:36" x14ac:dyDescent="0.3">
      <c r="A108">
        <v>1804</v>
      </c>
      <c r="B108">
        <f t="shared" si="146"/>
        <v>27661</v>
      </c>
      <c r="C108">
        <v>1904</v>
      </c>
      <c r="D108">
        <f t="shared" si="147"/>
        <v>29563</v>
      </c>
      <c r="E108">
        <v>2004</v>
      </c>
      <c r="F108">
        <f t="shared" si="148"/>
        <v>31448.2</v>
      </c>
      <c r="G108">
        <v>2104</v>
      </c>
      <c r="H108">
        <f t="shared" si="149"/>
        <v>33311</v>
      </c>
      <c r="I108">
        <v>2204</v>
      </c>
      <c r="J108">
        <f t="shared" si="150"/>
        <v>35142.400000000001</v>
      </c>
      <c r="K108">
        <v>2304</v>
      </c>
      <c r="L108">
        <f t="shared" si="151"/>
        <v>36934.800000000003</v>
      </c>
      <c r="M108">
        <v>2404</v>
      </c>
      <c r="N108">
        <f t="shared" si="152"/>
        <v>38680.800000000003</v>
      </c>
      <c r="O108">
        <v>2504</v>
      </c>
      <c r="P108">
        <f t="shared" si="153"/>
        <v>40370.400000000001</v>
      </c>
      <c r="Q108">
        <v>2604</v>
      </c>
      <c r="R108">
        <f t="shared" si="154"/>
        <v>41994.2</v>
      </c>
      <c r="S108">
        <v>2704</v>
      </c>
      <c r="T108">
        <f t="shared" si="155"/>
        <v>43540</v>
      </c>
      <c r="U108">
        <v>2804</v>
      </c>
      <c r="W108">
        <v>2904</v>
      </c>
      <c r="X108">
        <f t="shared" si="156"/>
        <v>46345.599999999999</v>
      </c>
      <c r="Y108">
        <v>3004</v>
      </c>
      <c r="AA108">
        <v>3104</v>
      </c>
      <c r="AC108">
        <v>3204</v>
      </c>
      <c r="AE108">
        <v>3304</v>
      </c>
      <c r="AG108">
        <v>3404</v>
      </c>
      <c r="AI108">
        <v>3504</v>
      </c>
    </row>
    <row r="109" spans="1:36" x14ac:dyDescent="0.3">
      <c r="A109">
        <v>1805</v>
      </c>
      <c r="B109">
        <f t="shared" si="146"/>
        <v>27680</v>
      </c>
      <c r="C109">
        <v>1905</v>
      </c>
      <c r="D109">
        <f t="shared" si="147"/>
        <v>29582</v>
      </c>
      <c r="E109">
        <v>2005</v>
      </c>
      <c r="F109">
        <f t="shared" si="148"/>
        <v>31467</v>
      </c>
      <c r="G109">
        <v>2105</v>
      </c>
      <c r="H109">
        <f t="shared" si="149"/>
        <v>33329.5</v>
      </c>
      <c r="I109">
        <v>2205</v>
      </c>
      <c r="J109">
        <f t="shared" si="150"/>
        <v>35160.5</v>
      </c>
      <c r="K109">
        <v>2305</v>
      </c>
      <c r="L109">
        <f t="shared" si="151"/>
        <v>36952.5</v>
      </c>
      <c r="M109">
        <v>2405</v>
      </c>
      <c r="N109">
        <f t="shared" si="152"/>
        <v>38698</v>
      </c>
      <c r="O109">
        <v>2505</v>
      </c>
      <c r="P109">
        <f t="shared" si="153"/>
        <v>40387</v>
      </c>
      <c r="Q109">
        <v>2605</v>
      </c>
      <c r="R109">
        <f t="shared" si="154"/>
        <v>42010</v>
      </c>
      <c r="S109">
        <v>2705</v>
      </c>
      <c r="T109">
        <f t="shared" si="155"/>
        <v>43555</v>
      </c>
      <c r="U109">
        <v>2805</v>
      </c>
      <c r="W109">
        <v>2905</v>
      </c>
      <c r="X109">
        <f t="shared" si="156"/>
        <v>46358.5</v>
      </c>
      <c r="Y109">
        <v>3005</v>
      </c>
      <c r="AA109">
        <v>3105</v>
      </c>
      <c r="AC109">
        <v>3205</v>
      </c>
      <c r="AE109">
        <v>3305</v>
      </c>
      <c r="AG109">
        <v>3405</v>
      </c>
      <c r="AI109">
        <v>3505</v>
      </c>
    </row>
    <row r="110" spans="1:36" x14ac:dyDescent="0.3">
      <c r="A110">
        <v>1806</v>
      </c>
      <c r="B110">
        <f t="shared" si="146"/>
        <v>27699</v>
      </c>
      <c r="C110">
        <v>1906</v>
      </c>
      <c r="D110">
        <f t="shared" si="147"/>
        <v>29601</v>
      </c>
      <c r="E110">
        <v>2006</v>
      </c>
      <c r="F110">
        <f t="shared" si="148"/>
        <v>31485.8</v>
      </c>
      <c r="G110">
        <v>2106</v>
      </c>
      <c r="H110">
        <f t="shared" si="149"/>
        <v>33348</v>
      </c>
      <c r="I110">
        <v>2206</v>
      </c>
      <c r="J110">
        <f t="shared" si="150"/>
        <v>35178.6</v>
      </c>
      <c r="K110">
        <v>2306</v>
      </c>
      <c r="L110">
        <f t="shared" si="151"/>
        <v>36970.199999999997</v>
      </c>
      <c r="M110">
        <v>2406</v>
      </c>
      <c r="N110">
        <f t="shared" si="152"/>
        <v>38715.199999999997</v>
      </c>
      <c r="O110">
        <v>2506</v>
      </c>
      <c r="P110">
        <f t="shared" si="153"/>
        <v>40403.599999999999</v>
      </c>
      <c r="Q110">
        <v>2606</v>
      </c>
      <c r="R110">
        <f t="shared" si="154"/>
        <v>42025.8</v>
      </c>
      <c r="S110">
        <v>2706</v>
      </c>
      <c r="T110">
        <f t="shared" si="155"/>
        <v>43570</v>
      </c>
      <c r="U110">
        <v>2806</v>
      </c>
      <c r="W110">
        <v>2906</v>
      </c>
      <c r="X110">
        <f t="shared" si="156"/>
        <v>46371.4</v>
      </c>
      <c r="Y110">
        <v>3006</v>
      </c>
      <c r="AA110">
        <v>3106</v>
      </c>
      <c r="AC110">
        <v>3206</v>
      </c>
      <c r="AE110">
        <v>3306</v>
      </c>
      <c r="AG110">
        <v>3406</v>
      </c>
      <c r="AI110">
        <v>3506</v>
      </c>
    </row>
    <row r="111" spans="1:36" x14ac:dyDescent="0.3">
      <c r="A111">
        <v>1807</v>
      </c>
      <c r="B111">
        <f t="shared" si="146"/>
        <v>27718</v>
      </c>
      <c r="C111">
        <v>1907</v>
      </c>
      <c r="D111">
        <f t="shared" si="147"/>
        <v>29620</v>
      </c>
      <c r="E111">
        <v>2007</v>
      </c>
      <c r="F111">
        <f t="shared" si="148"/>
        <v>31504.6</v>
      </c>
      <c r="G111">
        <v>2107</v>
      </c>
      <c r="H111">
        <f t="shared" si="149"/>
        <v>33366.5</v>
      </c>
      <c r="I111">
        <v>2207</v>
      </c>
      <c r="J111">
        <f t="shared" si="150"/>
        <v>35196.699999999997</v>
      </c>
      <c r="K111">
        <v>2307</v>
      </c>
      <c r="L111">
        <f t="shared" si="151"/>
        <v>36987.9</v>
      </c>
      <c r="M111">
        <v>2407</v>
      </c>
      <c r="N111">
        <f t="shared" si="152"/>
        <v>38732.400000000001</v>
      </c>
      <c r="O111">
        <v>2507</v>
      </c>
      <c r="P111">
        <f t="shared" si="153"/>
        <v>40420.199999999997</v>
      </c>
      <c r="Q111">
        <v>2607</v>
      </c>
      <c r="R111">
        <f t="shared" si="154"/>
        <v>42041.599999999999</v>
      </c>
      <c r="S111">
        <v>2707</v>
      </c>
      <c r="T111">
        <f t="shared" si="155"/>
        <v>43585</v>
      </c>
      <c r="U111">
        <v>2807</v>
      </c>
      <c r="W111">
        <v>2907</v>
      </c>
      <c r="X111">
        <f t="shared" si="156"/>
        <v>46384.3</v>
      </c>
      <c r="Y111">
        <v>3007</v>
      </c>
      <c r="AA111">
        <v>3107</v>
      </c>
      <c r="AC111">
        <v>3207</v>
      </c>
      <c r="AE111">
        <v>3307</v>
      </c>
      <c r="AG111">
        <v>3407</v>
      </c>
      <c r="AI111">
        <v>3507</v>
      </c>
    </row>
    <row r="112" spans="1:36" x14ac:dyDescent="0.3">
      <c r="A112">
        <v>1808</v>
      </c>
      <c r="B112">
        <f t="shared" si="146"/>
        <v>27737</v>
      </c>
      <c r="C112">
        <v>1908</v>
      </c>
      <c r="D112">
        <f t="shared" si="147"/>
        <v>29639</v>
      </c>
      <c r="E112">
        <v>2008</v>
      </c>
      <c r="F112">
        <f t="shared" si="148"/>
        <v>31523.4</v>
      </c>
      <c r="G112">
        <v>2108</v>
      </c>
      <c r="H112">
        <f t="shared" si="149"/>
        <v>33385</v>
      </c>
      <c r="I112">
        <v>2208</v>
      </c>
      <c r="J112">
        <f t="shared" si="150"/>
        <v>35214.800000000003</v>
      </c>
      <c r="K112">
        <v>2308</v>
      </c>
      <c r="L112">
        <f t="shared" si="151"/>
        <v>37005.599999999999</v>
      </c>
      <c r="M112">
        <v>2408</v>
      </c>
      <c r="N112">
        <f t="shared" si="152"/>
        <v>38749.599999999999</v>
      </c>
      <c r="O112">
        <v>2508</v>
      </c>
      <c r="P112">
        <f t="shared" si="153"/>
        <v>40436.800000000003</v>
      </c>
      <c r="Q112">
        <v>2608</v>
      </c>
      <c r="R112">
        <f t="shared" si="154"/>
        <v>42057.4</v>
      </c>
      <c r="S112">
        <v>2708</v>
      </c>
      <c r="T112">
        <f t="shared" si="155"/>
        <v>43600</v>
      </c>
      <c r="U112">
        <v>2808</v>
      </c>
      <c r="W112">
        <v>2908</v>
      </c>
      <c r="X112">
        <f t="shared" si="156"/>
        <v>46397.2</v>
      </c>
      <c r="Y112">
        <v>3008</v>
      </c>
      <c r="AA112">
        <v>3108</v>
      </c>
      <c r="AC112">
        <v>3208</v>
      </c>
      <c r="AE112">
        <v>3308</v>
      </c>
      <c r="AG112">
        <v>3408</v>
      </c>
      <c r="AI112">
        <v>3508</v>
      </c>
    </row>
    <row r="113" spans="1:35" x14ac:dyDescent="0.3">
      <c r="A113">
        <v>1809</v>
      </c>
      <c r="B113">
        <f t="shared" si="146"/>
        <v>27756</v>
      </c>
      <c r="C113">
        <v>1909</v>
      </c>
      <c r="D113">
        <f t="shared" si="147"/>
        <v>29658</v>
      </c>
      <c r="E113">
        <v>2009</v>
      </c>
      <c r="F113">
        <f t="shared" si="148"/>
        <v>31542.2</v>
      </c>
      <c r="G113">
        <v>2109</v>
      </c>
      <c r="H113">
        <f t="shared" si="149"/>
        <v>33403.5</v>
      </c>
      <c r="I113">
        <v>2209</v>
      </c>
      <c r="J113">
        <f t="shared" si="150"/>
        <v>35232.9</v>
      </c>
      <c r="K113">
        <v>2309</v>
      </c>
      <c r="L113">
        <f t="shared" si="151"/>
        <v>37023.300000000003</v>
      </c>
      <c r="M113">
        <v>2409</v>
      </c>
      <c r="N113">
        <f t="shared" si="152"/>
        <v>38766.800000000003</v>
      </c>
      <c r="O113">
        <v>2509</v>
      </c>
      <c r="P113">
        <f t="shared" si="153"/>
        <v>40453.4</v>
      </c>
      <c r="Q113">
        <v>2609</v>
      </c>
      <c r="R113">
        <f t="shared" si="154"/>
        <v>42073.2</v>
      </c>
      <c r="S113">
        <v>2709</v>
      </c>
      <c r="T113">
        <f t="shared" si="155"/>
        <v>43615</v>
      </c>
      <c r="U113">
        <v>2809</v>
      </c>
      <c r="W113">
        <v>2909</v>
      </c>
      <c r="X113">
        <f t="shared" si="156"/>
        <v>46410.1</v>
      </c>
      <c r="Y113">
        <v>3009</v>
      </c>
      <c r="AA113">
        <v>3109</v>
      </c>
      <c r="AC113">
        <v>3209</v>
      </c>
      <c r="AE113">
        <v>3309</v>
      </c>
      <c r="AG113">
        <v>3409</v>
      </c>
      <c r="AI113">
        <v>3509</v>
      </c>
    </row>
    <row r="114" spans="1:35" x14ac:dyDescent="0.3">
      <c r="A114">
        <v>1810</v>
      </c>
      <c r="B114">
        <v>27775</v>
      </c>
      <c r="C114">
        <v>1910</v>
      </c>
      <c r="D114">
        <v>29677</v>
      </c>
      <c r="E114">
        <v>2010</v>
      </c>
      <c r="F114">
        <v>31561</v>
      </c>
      <c r="G114">
        <v>2110</v>
      </c>
      <c r="H114">
        <v>33422</v>
      </c>
      <c r="I114">
        <v>2210</v>
      </c>
      <c r="J114">
        <v>35251</v>
      </c>
      <c r="K114">
        <v>2310</v>
      </c>
      <c r="L114">
        <v>37041</v>
      </c>
      <c r="M114">
        <v>2410</v>
      </c>
      <c r="N114">
        <v>38784</v>
      </c>
      <c r="O114">
        <v>2510</v>
      </c>
      <c r="P114">
        <v>40470</v>
      </c>
      <c r="Q114">
        <v>2610</v>
      </c>
      <c r="R114">
        <v>42089</v>
      </c>
      <c r="S114">
        <v>2710</v>
      </c>
      <c r="T114">
        <v>43630</v>
      </c>
      <c r="U114">
        <v>2810</v>
      </c>
      <c r="V114">
        <v>45080</v>
      </c>
      <c r="W114">
        <v>2910</v>
      </c>
      <c r="X114">
        <v>46423</v>
      </c>
      <c r="Y114">
        <v>3010</v>
      </c>
      <c r="Z114">
        <v>47638</v>
      </c>
      <c r="AA114">
        <v>3110</v>
      </c>
      <c r="AB114">
        <v>48698</v>
      </c>
      <c r="AC114">
        <v>3210</v>
      </c>
      <c r="AD114">
        <v>49561</v>
      </c>
      <c r="AE114">
        <v>3310</v>
      </c>
      <c r="AF114">
        <v>50139</v>
      </c>
      <c r="AG114">
        <v>3410</v>
      </c>
      <c r="AI114">
        <v>3510</v>
      </c>
    </row>
    <row r="115" spans="1:35" x14ac:dyDescent="0.3">
      <c r="A115">
        <v>1811</v>
      </c>
      <c r="C115">
        <v>1911</v>
      </c>
      <c r="D115">
        <f>29677+((29866-29677)/10)*(C115-1910)</f>
        <v>29695.9</v>
      </c>
      <c r="E115">
        <v>2011</v>
      </c>
      <c r="F115">
        <f>31561+((31748-31561)/10)*(E115-2010)</f>
        <v>31579.7</v>
      </c>
      <c r="G115">
        <v>2111</v>
      </c>
      <c r="H115">
        <f>33422+((33606-33422)/10)*(G115-2110)</f>
        <v>33440.400000000001</v>
      </c>
      <c r="I115">
        <v>2211</v>
      </c>
      <c r="J115">
        <f>35251+((35432-35251)/10)*(I115-2210)</f>
        <v>35269.1</v>
      </c>
      <c r="K115">
        <v>2311</v>
      </c>
      <c r="L115">
        <f>37041+((37218-37041)/10)*(K115-2310)</f>
        <v>37058.699999999997</v>
      </c>
      <c r="M115">
        <v>2411</v>
      </c>
      <c r="N115">
        <f>38784+((38955-38784)/10)*(M115-2410)</f>
        <v>38801.1</v>
      </c>
      <c r="O115">
        <v>2511</v>
      </c>
      <c r="P115">
        <f>40470+((40635-40470)/10)*(O115-2510)</f>
        <v>40486.5</v>
      </c>
      <c r="Q115">
        <v>2611</v>
      </c>
      <c r="R115">
        <f>42089+((42047-42089)/10)*(Q115-2610)</f>
        <v>42084.800000000003</v>
      </c>
      <c r="S115">
        <v>2711</v>
      </c>
      <c r="T115">
        <f>43630+((43780-43630)/10)*(S115-2710)</f>
        <v>43645</v>
      </c>
      <c r="U115">
        <v>2811</v>
      </c>
      <c r="V115">
        <f>45080+((45220-45080)/10)*(U115-2810)</f>
        <v>45094</v>
      </c>
      <c r="W115">
        <v>2911</v>
      </c>
      <c r="X115">
        <f>46423+((46551-46423)/10)*(W115-2910)</f>
        <v>46435.8</v>
      </c>
      <c r="Y115">
        <v>3011</v>
      </c>
      <c r="AA115">
        <v>3111</v>
      </c>
      <c r="AC115">
        <v>3211</v>
      </c>
      <c r="AE115">
        <v>3311</v>
      </c>
      <c r="AG115">
        <v>3411</v>
      </c>
      <c r="AI115">
        <v>3511</v>
      </c>
    </row>
    <row r="116" spans="1:35" x14ac:dyDescent="0.3">
      <c r="A116">
        <v>1812</v>
      </c>
      <c r="C116">
        <v>1912</v>
      </c>
      <c r="D116">
        <f>29677+((29866-29677)/10)*(C116-1910)</f>
        <v>29714.799999999999</v>
      </c>
      <c r="E116">
        <v>2012</v>
      </c>
      <c r="F116">
        <f t="shared" ref="F116:F123" si="157">31561+((31748-31561)/10)*(E116-2010)</f>
        <v>31598.400000000001</v>
      </c>
      <c r="G116">
        <v>2112</v>
      </c>
      <c r="H116">
        <f t="shared" ref="H116:H123" si="158">33422+((33606-33422)/10)*(G116-2110)</f>
        <v>33458.800000000003</v>
      </c>
      <c r="I116">
        <v>2212</v>
      </c>
      <c r="J116">
        <f t="shared" ref="J116:J123" si="159">35251+((35432-35251)/10)*(I116-2210)</f>
        <v>35287.199999999997</v>
      </c>
      <c r="K116">
        <v>2312</v>
      </c>
      <c r="L116">
        <f t="shared" ref="L116:L123" si="160">37041+((37218-37041)/10)*(K116-2310)</f>
        <v>37076.400000000001</v>
      </c>
      <c r="M116">
        <v>2412</v>
      </c>
      <c r="N116">
        <f t="shared" ref="N116:N123" si="161">38784+((38955-38784)/10)*(M116-2410)</f>
        <v>38818.199999999997</v>
      </c>
      <c r="O116">
        <v>2512</v>
      </c>
      <c r="P116">
        <f t="shared" ref="P116:P123" si="162">40470+((40635-40470)/10)*(O116-2510)</f>
        <v>40503</v>
      </c>
      <c r="Q116">
        <v>2612</v>
      </c>
      <c r="R116">
        <f t="shared" ref="R116:R123" si="163">42089+((42047-42089)/10)*(Q116-2610)</f>
        <v>42080.6</v>
      </c>
      <c r="S116">
        <v>2712</v>
      </c>
      <c r="T116">
        <f t="shared" ref="T116:T123" si="164">43630+((43780-43630)/10)*(S116-2710)</f>
        <v>43660</v>
      </c>
      <c r="U116">
        <v>2812</v>
      </c>
      <c r="V116">
        <f t="shared" ref="V116:V123" si="165">45080+((45220-45080)/10)*(U116-2810)</f>
        <v>45108</v>
      </c>
      <c r="W116">
        <v>2912</v>
      </c>
      <c r="X116">
        <f t="shared" ref="X116:X123" si="166">46423+((46551-46423)/10)*(W116-2910)</f>
        <v>46448.6</v>
      </c>
      <c r="Y116">
        <v>3012</v>
      </c>
      <c r="AA116">
        <v>3112</v>
      </c>
      <c r="AC116">
        <v>3212</v>
      </c>
      <c r="AE116">
        <v>3312</v>
      </c>
      <c r="AG116">
        <v>3412</v>
      </c>
      <c r="AI116">
        <v>3512</v>
      </c>
    </row>
    <row r="117" spans="1:35" x14ac:dyDescent="0.3">
      <c r="A117">
        <v>1813</v>
      </c>
      <c r="C117">
        <v>1913</v>
      </c>
      <c r="D117">
        <f t="shared" ref="D117:D123" si="167">29677+((29866-29677)/10)*(C117-1910)</f>
        <v>29733.7</v>
      </c>
      <c r="E117">
        <v>2013</v>
      </c>
      <c r="F117">
        <f t="shared" si="157"/>
        <v>31617.1</v>
      </c>
      <c r="G117">
        <v>2113</v>
      </c>
      <c r="H117">
        <f t="shared" si="158"/>
        <v>33477.199999999997</v>
      </c>
      <c r="I117">
        <v>2213</v>
      </c>
      <c r="J117">
        <f t="shared" si="159"/>
        <v>35305.300000000003</v>
      </c>
      <c r="K117">
        <v>2313</v>
      </c>
      <c r="L117">
        <f t="shared" si="160"/>
        <v>37094.1</v>
      </c>
      <c r="M117">
        <v>2413</v>
      </c>
      <c r="N117">
        <f t="shared" si="161"/>
        <v>38835.300000000003</v>
      </c>
      <c r="O117">
        <v>2513</v>
      </c>
      <c r="P117">
        <f t="shared" si="162"/>
        <v>40519.5</v>
      </c>
      <c r="Q117">
        <v>2613</v>
      </c>
      <c r="R117">
        <f t="shared" si="163"/>
        <v>42076.4</v>
      </c>
      <c r="S117">
        <v>2713</v>
      </c>
      <c r="T117">
        <f t="shared" si="164"/>
        <v>43675</v>
      </c>
      <c r="U117">
        <v>2813</v>
      </c>
      <c r="V117">
        <f t="shared" si="165"/>
        <v>45122</v>
      </c>
      <c r="W117">
        <v>2913</v>
      </c>
      <c r="X117">
        <f t="shared" si="166"/>
        <v>46461.4</v>
      </c>
      <c r="Y117">
        <v>3013</v>
      </c>
      <c r="AA117">
        <v>3113</v>
      </c>
      <c r="AC117">
        <v>3213</v>
      </c>
      <c r="AE117">
        <v>3313</v>
      </c>
      <c r="AG117">
        <v>3413</v>
      </c>
      <c r="AI117">
        <v>3513</v>
      </c>
    </row>
    <row r="118" spans="1:35" x14ac:dyDescent="0.3">
      <c r="A118">
        <v>1814</v>
      </c>
      <c r="C118">
        <v>1914</v>
      </c>
      <c r="D118">
        <f t="shared" si="167"/>
        <v>29752.6</v>
      </c>
      <c r="E118">
        <v>2014</v>
      </c>
      <c r="F118">
        <f t="shared" si="157"/>
        <v>31635.8</v>
      </c>
      <c r="G118">
        <v>2114</v>
      </c>
      <c r="H118">
        <f t="shared" si="158"/>
        <v>33495.599999999999</v>
      </c>
      <c r="I118">
        <v>2214</v>
      </c>
      <c r="J118">
        <f t="shared" si="159"/>
        <v>35323.4</v>
      </c>
      <c r="K118">
        <v>2314</v>
      </c>
      <c r="L118">
        <f t="shared" si="160"/>
        <v>37111.800000000003</v>
      </c>
      <c r="M118">
        <v>2414</v>
      </c>
      <c r="N118">
        <f t="shared" si="161"/>
        <v>38852.400000000001</v>
      </c>
      <c r="O118">
        <v>2514</v>
      </c>
      <c r="P118">
        <f t="shared" si="162"/>
        <v>40536</v>
      </c>
      <c r="Q118">
        <v>2614</v>
      </c>
      <c r="R118">
        <f t="shared" si="163"/>
        <v>42072.2</v>
      </c>
      <c r="S118">
        <v>2714</v>
      </c>
      <c r="T118">
        <f t="shared" si="164"/>
        <v>43690</v>
      </c>
      <c r="U118">
        <v>2814</v>
      </c>
      <c r="V118">
        <f t="shared" si="165"/>
        <v>45136</v>
      </c>
      <c r="W118">
        <v>2914</v>
      </c>
      <c r="X118">
        <f t="shared" si="166"/>
        <v>46474.2</v>
      </c>
      <c r="Y118">
        <v>3014</v>
      </c>
      <c r="AA118">
        <v>3114</v>
      </c>
      <c r="AC118">
        <v>3214</v>
      </c>
      <c r="AE118">
        <v>3314</v>
      </c>
      <c r="AG118">
        <v>3414</v>
      </c>
      <c r="AI118">
        <v>3514</v>
      </c>
    </row>
    <row r="119" spans="1:35" x14ac:dyDescent="0.3">
      <c r="A119">
        <v>1815</v>
      </c>
      <c r="C119">
        <v>1915</v>
      </c>
      <c r="D119">
        <f t="shared" si="167"/>
        <v>29771.5</v>
      </c>
      <c r="E119">
        <v>2015</v>
      </c>
      <c r="F119">
        <f t="shared" si="157"/>
        <v>31654.5</v>
      </c>
      <c r="G119">
        <v>2115</v>
      </c>
      <c r="H119">
        <f t="shared" si="158"/>
        <v>33514</v>
      </c>
      <c r="I119">
        <v>2215</v>
      </c>
      <c r="J119">
        <f t="shared" si="159"/>
        <v>35341.5</v>
      </c>
      <c r="K119">
        <v>2315</v>
      </c>
      <c r="L119">
        <f t="shared" si="160"/>
        <v>37129.5</v>
      </c>
      <c r="M119">
        <v>2415</v>
      </c>
      <c r="N119">
        <f t="shared" si="161"/>
        <v>38869.5</v>
      </c>
      <c r="O119">
        <v>2515</v>
      </c>
      <c r="P119">
        <f t="shared" si="162"/>
        <v>40552.5</v>
      </c>
      <c r="Q119">
        <v>2615</v>
      </c>
      <c r="R119">
        <f t="shared" si="163"/>
        <v>42068</v>
      </c>
      <c r="S119">
        <v>2715</v>
      </c>
      <c r="T119">
        <f t="shared" si="164"/>
        <v>43705</v>
      </c>
      <c r="U119">
        <v>2815</v>
      </c>
      <c r="V119">
        <f t="shared" si="165"/>
        <v>45150</v>
      </c>
      <c r="W119">
        <v>2915</v>
      </c>
      <c r="X119">
        <f t="shared" si="166"/>
        <v>46487</v>
      </c>
      <c r="Y119">
        <v>3015</v>
      </c>
      <c r="AA119">
        <v>3115</v>
      </c>
      <c r="AC119">
        <v>3215</v>
      </c>
      <c r="AE119">
        <v>3315</v>
      </c>
      <c r="AG119">
        <v>3415</v>
      </c>
      <c r="AI119">
        <v>3515</v>
      </c>
    </row>
    <row r="120" spans="1:35" x14ac:dyDescent="0.3">
      <c r="A120">
        <v>1816</v>
      </c>
      <c r="C120">
        <v>1916</v>
      </c>
      <c r="D120">
        <f t="shared" si="167"/>
        <v>29790.400000000001</v>
      </c>
      <c r="E120">
        <v>2016</v>
      </c>
      <c r="F120">
        <f t="shared" si="157"/>
        <v>31673.200000000001</v>
      </c>
      <c r="G120">
        <v>2116</v>
      </c>
      <c r="H120">
        <f t="shared" si="158"/>
        <v>33532.400000000001</v>
      </c>
      <c r="I120">
        <v>2216</v>
      </c>
      <c r="J120">
        <f t="shared" si="159"/>
        <v>35359.599999999999</v>
      </c>
      <c r="K120">
        <v>2316</v>
      </c>
      <c r="L120">
        <f t="shared" si="160"/>
        <v>37147.199999999997</v>
      </c>
      <c r="M120">
        <v>2416</v>
      </c>
      <c r="N120">
        <f t="shared" si="161"/>
        <v>38886.6</v>
      </c>
      <c r="O120">
        <v>2516</v>
      </c>
      <c r="P120">
        <f t="shared" si="162"/>
        <v>40569</v>
      </c>
      <c r="Q120">
        <v>2616</v>
      </c>
      <c r="R120">
        <f t="shared" si="163"/>
        <v>42063.8</v>
      </c>
      <c r="S120">
        <v>2716</v>
      </c>
      <c r="T120">
        <f t="shared" si="164"/>
        <v>43720</v>
      </c>
      <c r="U120">
        <v>2816</v>
      </c>
      <c r="V120">
        <f t="shared" si="165"/>
        <v>45164</v>
      </c>
      <c r="W120">
        <v>2916</v>
      </c>
      <c r="X120">
        <f t="shared" si="166"/>
        <v>46499.8</v>
      </c>
      <c r="Y120">
        <v>3016</v>
      </c>
      <c r="AA120">
        <v>3116</v>
      </c>
      <c r="AC120">
        <v>3216</v>
      </c>
      <c r="AE120">
        <v>3316</v>
      </c>
      <c r="AG120">
        <v>3416</v>
      </c>
      <c r="AI120">
        <v>3516</v>
      </c>
    </row>
    <row r="121" spans="1:35" x14ac:dyDescent="0.3">
      <c r="A121">
        <v>1817</v>
      </c>
      <c r="C121">
        <v>1917</v>
      </c>
      <c r="D121">
        <f t="shared" si="167"/>
        <v>29809.3</v>
      </c>
      <c r="E121">
        <v>2017</v>
      </c>
      <c r="F121">
        <f t="shared" si="157"/>
        <v>31691.9</v>
      </c>
      <c r="G121">
        <v>2117</v>
      </c>
      <c r="H121">
        <f t="shared" si="158"/>
        <v>33550.800000000003</v>
      </c>
      <c r="I121">
        <v>2217</v>
      </c>
      <c r="J121">
        <f t="shared" si="159"/>
        <v>35377.699999999997</v>
      </c>
      <c r="K121">
        <v>2317</v>
      </c>
      <c r="L121">
        <f t="shared" si="160"/>
        <v>37164.9</v>
      </c>
      <c r="M121">
        <v>2417</v>
      </c>
      <c r="N121">
        <f t="shared" si="161"/>
        <v>38903.699999999997</v>
      </c>
      <c r="O121">
        <v>2517</v>
      </c>
      <c r="P121">
        <f t="shared" si="162"/>
        <v>40585.5</v>
      </c>
      <c r="Q121">
        <v>2617</v>
      </c>
      <c r="R121">
        <f t="shared" si="163"/>
        <v>42059.6</v>
      </c>
      <c r="S121">
        <v>2717</v>
      </c>
      <c r="T121">
        <f t="shared" si="164"/>
        <v>43735</v>
      </c>
      <c r="U121">
        <v>2817</v>
      </c>
      <c r="V121">
        <f t="shared" si="165"/>
        <v>45178</v>
      </c>
      <c r="W121">
        <v>2917</v>
      </c>
      <c r="X121">
        <f t="shared" si="166"/>
        <v>46512.6</v>
      </c>
      <c r="Y121">
        <v>3017</v>
      </c>
      <c r="AA121">
        <v>3117</v>
      </c>
      <c r="AC121">
        <v>3217</v>
      </c>
      <c r="AE121">
        <v>3317</v>
      </c>
      <c r="AG121">
        <v>3417</v>
      </c>
      <c r="AI121">
        <v>3517</v>
      </c>
    </row>
    <row r="122" spans="1:35" x14ac:dyDescent="0.3">
      <c r="A122">
        <v>1818</v>
      </c>
      <c r="C122">
        <v>1918</v>
      </c>
      <c r="D122">
        <f t="shared" si="167"/>
        <v>29828.2</v>
      </c>
      <c r="E122">
        <v>2018</v>
      </c>
      <c r="F122">
        <f t="shared" si="157"/>
        <v>31710.6</v>
      </c>
      <c r="G122">
        <v>2118</v>
      </c>
      <c r="H122">
        <f t="shared" si="158"/>
        <v>33569.199999999997</v>
      </c>
      <c r="I122">
        <v>2218</v>
      </c>
      <c r="J122">
        <f t="shared" si="159"/>
        <v>35395.800000000003</v>
      </c>
      <c r="K122">
        <v>2318</v>
      </c>
      <c r="L122">
        <f t="shared" si="160"/>
        <v>37182.6</v>
      </c>
      <c r="M122">
        <v>2418</v>
      </c>
      <c r="N122">
        <f t="shared" si="161"/>
        <v>38920.800000000003</v>
      </c>
      <c r="O122">
        <v>2518</v>
      </c>
      <c r="P122">
        <f t="shared" si="162"/>
        <v>40602</v>
      </c>
      <c r="Q122">
        <v>2618</v>
      </c>
      <c r="R122">
        <f t="shared" si="163"/>
        <v>42055.4</v>
      </c>
      <c r="S122">
        <v>2718</v>
      </c>
      <c r="T122">
        <f t="shared" si="164"/>
        <v>43750</v>
      </c>
      <c r="U122">
        <v>2818</v>
      </c>
      <c r="V122">
        <f t="shared" si="165"/>
        <v>45192</v>
      </c>
      <c r="W122">
        <v>2918</v>
      </c>
      <c r="X122">
        <f t="shared" si="166"/>
        <v>46525.4</v>
      </c>
      <c r="Y122">
        <v>3018</v>
      </c>
      <c r="AA122">
        <v>3118</v>
      </c>
      <c r="AC122">
        <v>3218</v>
      </c>
      <c r="AE122">
        <v>3318</v>
      </c>
      <c r="AG122">
        <v>3418</v>
      </c>
      <c r="AI122">
        <v>3518</v>
      </c>
    </row>
    <row r="123" spans="1:35" x14ac:dyDescent="0.3">
      <c r="A123">
        <v>1819</v>
      </c>
      <c r="C123">
        <v>1919</v>
      </c>
      <c r="D123">
        <f t="shared" si="167"/>
        <v>29847.1</v>
      </c>
      <c r="E123">
        <v>2019</v>
      </c>
      <c r="F123">
        <f t="shared" si="157"/>
        <v>31729.3</v>
      </c>
      <c r="G123">
        <v>2119</v>
      </c>
      <c r="H123">
        <f t="shared" si="158"/>
        <v>33587.599999999999</v>
      </c>
      <c r="I123">
        <v>2219</v>
      </c>
      <c r="J123">
        <f t="shared" si="159"/>
        <v>35413.9</v>
      </c>
      <c r="K123">
        <v>2319</v>
      </c>
      <c r="L123">
        <f t="shared" si="160"/>
        <v>37200.300000000003</v>
      </c>
      <c r="M123">
        <v>2419</v>
      </c>
      <c r="N123">
        <f t="shared" si="161"/>
        <v>38937.9</v>
      </c>
      <c r="O123">
        <v>2519</v>
      </c>
      <c r="P123">
        <f t="shared" si="162"/>
        <v>40618.5</v>
      </c>
      <c r="Q123">
        <v>2619</v>
      </c>
      <c r="R123">
        <f t="shared" si="163"/>
        <v>42051.199999999997</v>
      </c>
      <c r="S123">
        <v>2719</v>
      </c>
      <c r="T123">
        <f t="shared" si="164"/>
        <v>43765</v>
      </c>
      <c r="U123">
        <v>2819</v>
      </c>
      <c r="V123">
        <f t="shared" si="165"/>
        <v>45206</v>
      </c>
      <c r="W123">
        <v>2919</v>
      </c>
      <c r="X123">
        <f t="shared" si="166"/>
        <v>46538.2</v>
      </c>
      <c r="Y123">
        <v>3019</v>
      </c>
      <c r="AA123">
        <v>3119</v>
      </c>
      <c r="AC123">
        <v>3219</v>
      </c>
      <c r="AE123">
        <v>3319</v>
      </c>
      <c r="AG123">
        <v>3419</v>
      </c>
      <c r="AI123">
        <v>3519</v>
      </c>
    </row>
    <row r="124" spans="1:35" x14ac:dyDescent="0.3">
      <c r="A124">
        <v>1820</v>
      </c>
      <c r="B124">
        <v>27966</v>
      </c>
      <c r="C124">
        <v>1920</v>
      </c>
      <c r="D124">
        <v>29866</v>
      </c>
      <c r="E124">
        <v>2020</v>
      </c>
      <c r="F124">
        <v>31748</v>
      </c>
      <c r="G124">
        <v>2120</v>
      </c>
      <c r="H124">
        <v>33606</v>
      </c>
      <c r="I124">
        <v>2220</v>
      </c>
      <c r="J124">
        <v>35432</v>
      </c>
      <c r="K124">
        <v>2320</v>
      </c>
      <c r="L124">
        <v>37218</v>
      </c>
      <c r="M124">
        <v>2420</v>
      </c>
      <c r="N124">
        <v>38955</v>
      </c>
      <c r="O124">
        <v>2520</v>
      </c>
      <c r="P124">
        <v>40635</v>
      </c>
      <c r="Q124">
        <v>2620</v>
      </c>
      <c r="R124">
        <v>42047</v>
      </c>
      <c r="S124">
        <v>2720</v>
      </c>
      <c r="T124">
        <v>43780</v>
      </c>
      <c r="U124">
        <v>2820</v>
      </c>
      <c r="V124">
        <v>45220</v>
      </c>
      <c r="W124">
        <v>2920</v>
      </c>
      <c r="X124">
        <v>46551</v>
      </c>
      <c r="Y124">
        <v>3020</v>
      </c>
      <c r="Z124">
        <v>47752</v>
      </c>
      <c r="AA124">
        <v>3120</v>
      </c>
      <c r="AB124">
        <v>48795</v>
      </c>
      <c r="AC124">
        <v>3220</v>
      </c>
      <c r="AD124">
        <v>49634</v>
      </c>
      <c r="AE124">
        <v>3320</v>
      </c>
      <c r="AF124">
        <v>50172</v>
      </c>
      <c r="AG124">
        <v>3420</v>
      </c>
      <c r="AI124">
        <v>3520</v>
      </c>
    </row>
    <row r="125" spans="1:35" x14ac:dyDescent="0.3">
      <c r="A125">
        <v>1821</v>
      </c>
      <c r="B125">
        <f>27966+((28157-27966)/10)*(A125-1820)</f>
        <v>27985.1</v>
      </c>
      <c r="C125">
        <v>1921</v>
      </c>
      <c r="D125">
        <f>29866+((30055-29866)/10)*(C125-1920)</f>
        <v>29884.9</v>
      </c>
      <c r="E125">
        <v>2021</v>
      </c>
      <c r="F125">
        <f>31748+((31935-31748)/10)*(E125-2020)</f>
        <v>31766.7</v>
      </c>
      <c r="G125">
        <v>2121</v>
      </c>
      <c r="H125">
        <f>33606+((33790-33606)/10)*(G125-2120)</f>
        <v>33624.400000000001</v>
      </c>
      <c r="I125">
        <v>2221</v>
      </c>
      <c r="J125">
        <f>35432+((35612-35432)/10)*(I125-2220)</f>
        <v>35450</v>
      </c>
      <c r="K125">
        <v>2321</v>
      </c>
      <c r="L125">
        <f>37218+((37394-37218)/10)*(K125-2320)</f>
        <v>37235.599999999999</v>
      </c>
      <c r="M125">
        <v>2421</v>
      </c>
      <c r="O125">
        <v>2521</v>
      </c>
      <c r="P125">
        <f>40635+((40899-40635)/10)*(O125-2520)</f>
        <v>40661.4</v>
      </c>
      <c r="Q125">
        <v>2621</v>
      </c>
      <c r="S125">
        <v>2721</v>
      </c>
      <c r="U125">
        <v>2821</v>
      </c>
      <c r="V125">
        <f>45358+((45358-45220)/10)*(U125-2820)</f>
        <v>45371.8</v>
      </c>
      <c r="W125">
        <v>2921</v>
      </c>
      <c r="Y125">
        <v>3021</v>
      </c>
      <c r="AA125">
        <v>3121</v>
      </c>
      <c r="AC125">
        <v>3221</v>
      </c>
      <c r="AE125">
        <v>3321</v>
      </c>
      <c r="AG125">
        <v>3421</v>
      </c>
      <c r="AI125">
        <v>3521</v>
      </c>
    </row>
    <row r="126" spans="1:35" x14ac:dyDescent="0.3">
      <c r="A126">
        <v>1822</v>
      </c>
      <c r="B126">
        <f t="shared" ref="B126:B133" si="168">27966+((28157-27966)/10)*(A126-1820)</f>
        <v>28004.2</v>
      </c>
      <c r="C126">
        <v>1922</v>
      </c>
      <c r="D126">
        <f t="shared" ref="D126:D133" si="169">29866+((30055-29866)/10)*(C126-1920)</f>
        <v>29903.8</v>
      </c>
      <c r="E126">
        <v>2022</v>
      </c>
      <c r="F126">
        <f t="shared" ref="F126:F133" si="170">31748+((31935-31748)/10)*(E126-2020)</f>
        <v>31785.4</v>
      </c>
      <c r="G126">
        <v>2122</v>
      </c>
      <c r="H126">
        <f t="shared" ref="H126:H133" si="171">33606+((33790-33606)/10)*(G126-2120)</f>
        <v>33642.800000000003</v>
      </c>
      <c r="I126">
        <v>2222</v>
      </c>
      <c r="J126">
        <f t="shared" ref="J126:J133" si="172">35432+((35612-35432)/10)*(I126-2220)</f>
        <v>35468</v>
      </c>
      <c r="K126">
        <v>2322</v>
      </c>
      <c r="L126">
        <f t="shared" ref="L126:L133" si="173">37218+((37394-37218)/10)*(K126-2320)</f>
        <v>37253.199999999997</v>
      </c>
      <c r="M126">
        <v>2422</v>
      </c>
      <c r="O126">
        <v>2522</v>
      </c>
      <c r="P126">
        <f t="shared" ref="P126:P133" si="174">40635+((40899-40635)/10)*(O126-2520)</f>
        <v>40687.800000000003</v>
      </c>
      <c r="Q126">
        <v>2622</v>
      </c>
      <c r="S126">
        <v>2722</v>
      </c>
      <c r="U126">
        <v>2822</v>
      </c>
      <c r="V126">
        <f t="shared" ref="V126:V133" si="175">45358+((45358-45220)/10)*(U126-2820)</f>
        <v>45385.599999999999</v>
      </c>
      <c r="W126">
        <v>2922</v>
      </c>
      <c r="Y126">
        <v>3022</v>
      </c>
      <c r="AA126">
        <v>3122</v>
      </c>
      <c r="AC126">
        <v>3222</v>
      </c>
      <c r="AE126">
        <v>3322</v>
      </c>
      <c r="AG126">
        <v>3422</v>
      </c>
      <c r="AI126">
        <v>3522</v>
      </c>
    </row>
    <row r="127" spans="1:35" x14ac:dyDescent="0.3">
      <c r="A127">
        <v>1823</v>
      </c>
      <c r="B127">
        <f t="shared" si="168"/>
        <v>28023.3</v>
      </c>
      <c r="C127">
        <v>1923</v>
      </c>
      <c r="D127">
        <f t="shared" si="169"/>
        <v>29922.7</v>
      </c>
      <c r="E127">
        <v>2023</v>
      </c>
      <c r="F127">
        <f t="shared" si="170"/>
        <v>31804.1</v>
      </c>
      <c r="G127">
        <v>2123</v>
      </c>
      <c r="H127">
        <f t="shared" si="171"/>
        <v>33661.199999999997</v>
      </c>
      <c r="I127">
        <v>2223</v>
      </c>
      <c r="J127">
        <f t="shared" si="172"/>
        <v>35486</v>
      </c>
      <c r="K127">
        <v>2323</v>
      </c>
      <c r="L127">
        <f t="shared" si="173"/>
        <v>37270.800000000003</v>
      </c>
      <c r="M127">
        <v>2423</v>
      </c>
      <c r="O127">
        <v>2523</v>
      </c>
      <c r="P127">
        <f t="shared" si="174"/>
        <v>40714.199999999997</v>
      </c>
      <c r="Q127">
        <v>2623</v>
      </c>
      <c r="S127">
        <v>2723</v>
      </c>
      <c r="U127">
        <v>2823</v>
      </c>
      <c r="V127">
        <f t="shared" si="175"/>
        <v>45399.4</v>
      </c>
      <c r="W127">
        <v>2923</v>
      </c>
      <c r="Y127">
        <v>3023</v>
      </c>
      <c r="AA127">
        <v>3123</v>
      </c>
      <c r="AC127">
        <v>3223</v>
      </c>
      <c r="AE127">
        <v>3323</v>
      </c>
      <c r="AG127">
        <v>3423</v>
      </c>
      <c r="AI127">
        <v>3523</v>
      </c>
    </row>
    <row r="128" spans="1:35" x14ac:dyDescent="0.3">
      <c r="A128">
        <v>1824</v>
      </c>
      <c r="B128">
        <f t="shared" si="168"/>
        <v>28042.400000000001</v>
      </c>
      <c r="C128">
        <v>1924</v>
      </c>
      <c r="D128">
        <f t="shared" si="169"/>
        <v>29941.599999999999</v>
      </c>
      <c r="E128">
        <v>2024</v>
      </c>
      <c r="F128">
        <f t="shared" si="170"/>
        <v>31822.799999999999</v>
      </c>
      <c r="G128">
        <v>2124</v>
      </c>
      <c r="H128">
        <f t="shared" si="171"/>
        <v>33679.599999999999</v>
      </c>
      <c r="I128">
        <v>2224</v>
      </c>
      <c r="J128">
        <f t="shared" si="172"/>
        <v>35504</v>
      </c>
      <c r="K128">
        <v>2324</v>
      </c>
      <c r="L128">
        <f t="shared" si="173"/>
        <v>37288.400000000001</v>
      </c>
      <c r="M128">
        <v>2424</v>
      </c>
      <c r="O128">
        <v>2524</v>
      </c>
      <c r="P128">
        <f t="shared" si="174"/>
        <v>40740.6</v>
      </c>
      <c r="Q128">
        <v>2624</v>
      </c>
      <c r="S128">
        <v>2724</v>
      </c>
      <c r="U128">
        <v>2824</v>
      </c>
      <c r="V128">
        <f t="shared" si="175"/>
        <v>45413.2</v>
      </c>
      <c r="W128">
        <v>2924</v>
      </c>
      <c r="Y128">
        <v>3024</v>
      </c>
      <c r="AA128">
        <v>3124</v>
      </c>
      <c r="AC128">
        <v>3224</v>
      </c>
      <c r="AE128">
        <v>3324</v>
      </c>
      <c r="AG128">
        <v>3424</v>
      </c>
      <c r="AI128">
        <v>3524</v>
      </c>
    </row>
    <row r="129" spans="1:35" x14ac:dyDescent="0.3">
      <c r="A129">
        <v>1825</v>
      </c>
      <c r="B129">
        <f t="shared" si="168"/>
        <v>28061.5</v>
      </c>
      <c r="C129">
        <v>1925</v>
      </c>
      <c r="D129">
        <f t="shared" si="169"/>
        <v>29960.5</v>
      </c>
      <c r="E129">
        <v>2025</v>
      </c>
      <c r="F129">
        <f t="shared" si="170"/>
        <v>31841.5</v>
      </c>
      <c r="G129">
        <v>2125</v>
      </c>
      <c r="H129">
        <f t="shared" si="171"/>
        <v>33698</v>
      </c>
      <c r="I129">
        <v>2225</v>
      </c>
      <c r="J129">
        <f t="shared" si="172"/>
        <v>35522</v>
      </c>
      <c r="K129">
        <v>2325</v>
      </c>
      <c r="L129">
        <f t="shared" si="173"/>
        <v>37306</v>
      </c>
      <c r="M129">
        <v>2425</v>
      </c>
      <c r="O129">
        <v>2525</v>
      </c>
      <c r="P129">
        <f t="shared" si="174"/>
        <v>40767</v>
      </c>
      <c r="Q129">
        <v>2625</v>
      </c>
      <c r="S129">
        <v>2725</v>
      </c>
      <c r="U129">
        <v>2825</v>
      </c>
      <c r="V129">
        <f t="shared" si="175"/>
        <v>45427</v>
      </c>
      <c r="W129">
        <v>2925</v>
      </c>
      <c r="Y129">
        <v>3025</v>
      </c>
      <c r="AA129">
        <v>3125</v>
      </c>
      <c r="AC129">
        <v>3225</v>
      </c>
      <c r="AE129">
        <v>3325</v>
      </c>
      <c r="AG129">
        <v>3425</v>
      </c>
      <c r="AI129">
        <v>3525</v>
      </c>
    </row>
    <row r="130" spans="1:35" x14ac:dyDescent="0.3">
      <c r="A130">
        <v>1826</v>
      </c>
      <c r="B130">
        <f t="shared" si="168"/>
        <v>28080.6</v>
      </c>
      <c r="C130">
        <v>1926</v>
      </c>
      <c r="D130">
        <f t="shared" si="169"/>
        <v>29979.4</v>
      </c>
      <c r="E130">
        <v>2026</v>
      </c>
      <c r="F130">
        <f t="shared" si="170"/>
        <v>31860.2</v>
      </c>
      <c r="G130">
        <v>2126</v>
      </c>
      <c r="H130">
        <f t="shared" si="171"/>
        <v>33716.400000000001</v>
      </c>
      <c r="I130">
        <v>2226</v>
      </c>
      <c r="J130">
        <f t="shared" si="172"/>
        <v>35540</v>
      </c>
      <c r="K130">
        <v>2326</v>
      </c>
      <c r="L130">
        <f t="shared" si="173"/>
        <v>37323.599999999999</v>
      </c>
      <c r="M130">
        <v>2426</v>
      </c>
      <c r="O130">
        <v>2526</v>
      </c>
      <c r="P130">
        <f t="shared" si="174"/>
        <v>40793.4</v>
      </c>
      <c r="Q130">
        <v>2626</v>
      </c>
      <c r="S130">
        <v>2726</v>
      </c>
      <c r="U130">
        <v>2826</v>
      </c>
      <c r="V130">
        <f t="shared" si="175"/>
        <v>45440.800000000003</v>
      </c>
      <c r="W130">
        <v>2926</v>
      </c>
      <c r="Y130">
        <v>3026</v>
      </c>
      <c r="AA130">
        <v>3126</v>
      </c>
      <c r="AC130">
        <v>3226</v>
      </c>
      <c r="AE130">
        <v>3326</v>
      </c>
      <c r="AG130">
        <v>3426</v>
      </c>
      <c r="AI130">
        <v>3526</v>
      </c>
    </row>
    <row r="131" spans="1:35" x14ac:dyDescent="0.3">
      <c r="A131">
        <v>1827</v>
      </c>
      <c r="B131">
        <f t="shared" si="168"/>
        <v>28099.7</v>
      </c>
      <c r="C131">
        <v>1927</v>
      </c>
      <c r="D131">
        <f t="shared" si="169"/>
        <v>29998.3</v>
      </c>
      <c r="E131">
        <v>2027</v>
      </c>
      <c r="F131">
        <f t="shared" si="170"/>
        <v>31878.9</v>
      </c>
      <c r="G131">
        <v>2127</v>
      </c>
      <c r="H131">
        <f t="shared" si="171"/>
        <v>33734.800000000003</v>
      </c>
      <c r="I131">
        <v>2227</v>
      </c>
      <c r="J131">
        <f t="shared" si="172"/>
        <v>35558</v>
      </c>
      <c r="K131">
        <v>2327</v>
      </c>
      <c r="L131">
        <f t="shared" si="173"/>
        <v>37341.199999999997</v>
      </c>
      <c r="M131">
        <v>2427</v>
      </c>
      <c r="O131">
        <v>2527</v>
      </c>
      <c r="P131">
        <f t="shared" si="174"/>
        <v>40819.800000000003</v>
      </c>
      <c r="Q131">
        <v>2627</v>
      </c>
      <c r="S131">
        <v>2727</v>
      </c>
      <c r="U131">
        <v>2827</v>
      </c>
      <c r="V131">
        <f t="shared" si="175"/>
        <v>45454.6</v>
      </c>
      <c r="W131">
        <v>2927</v>
      </c>
      <c r="Y131">
        <v>3027</v>
      </c>
      <c r="AA131">
        <v>3127</v>
      </c>
      <c r="AC131">
        <v>3227</v>
      </c>
      <c r="AE131">
        <v>3327</v>
      </c>
      <c r="AG131">
        <v>3427</v>
      </c>
      <c r="AI131">
        <v>3527</v>
      </c>
    </row>
    <row r="132" spans="1:35" x14ac:dyDescent="0.3">
      <c r="A132">
        <v>1828</v>
      </c>
      <c r="B132">
        <f t="shared" si="168"/>
        <v>28118.799999999999</v>
      </c>
      <c r="C132">
        <v>1928</v>
      </c>
      <c r="D132">
        <f t="shared" si="169"/>
        <v>30017.200000000001</v>
      </c>
      <c r="E132">
        <v>2028</v>
      </c>
      <c r="F132">
        <f t="shared" si="170"/>
        <v>31897.599999999999</v>
      </c>
      <c r="G132">
        <v>2128</v>
      </c>
      <c r="H132">
        <f t="shared" si="171"/>
        <v>33753.199999999997</v>
      </c>
      <c r="I132">
        <v>2228</v>
      </c>
      <c r="J132">
        <f t="shared" si="172"/>
        <v>35576</v>
      </c>
      <c r="K132">
        <v>2328</v>
      </c>
      <c r="L132">
        <f t="shared" si="173"/>
        <v>37358.800000000003</v>
      </c>
      <c r="M132">
        <v>2428</v>
      </c>
      <c r="O132">
        <v>2528</v>
      </c>
      <c r="P132">
        <f t="shared" si="174"/>
        <v>40846.199999999997</v>
      </c>
      <c r="Q132">
        <v>2628</v>
      </c>
      <c r="S132">
        <v>2728</v>
      </c>
      <c r="U132">
        <v>2828</v>
      </c>
      <c r="V132">
        <f t="shared" si="175"/>
        <v>45468.4</v>
      </c>
      <c r="W132">
        <v>2928</v>
      </c>
      <c r="Y132">
        <v>3028</v>
      </c>
      <c r="AA132">
        <v>3128</v>
      </c>
      <c r="AC132">
        <v>3228</v>
      </c>
      <c r="AE132">
        <v>3328</v>
      </c>
      <c r="AG132">
        <v>3428</v>
      </c>
      <c r="AI132">
        <v>3528</v>
      </c>
    </row>
    <row r="133" spans="1:35" x14ac:dyDescent="0.3">
      <c r="A133">
        <v>1829</v>
      </c>
      <c r="B133">
        <f t="shared" si="168"/>
        <v>28137.9</v>
      </c>
      <c r="C133">
        <v>1929</v>
      </c>
      <c r="D133">
        <f t="shared" si="169"/>
        <v>30036.1</v>
      </c>
      <c r="E133">
        <v>2029</v>
      </c>
      <c r="F133">
        <f t="shared" si="170"/>
        <v>31916.3</v>
      </c>
      <c r="G133">
        <v>2129</v>
      </c>
      <c r="H133">
        <f t="shared" si="171"/>
        <v>33771.599999999999</v>
      </c>
      <c r="I133">
        <v>2229</v>
      </c>
      <c r="J133">
        <f t="shared" si="172"/>
        <v>35594</v>
      </c>
      <c r="K133">
        <v>2329</v>
      </c>
      <c r="L133">
        <f t="shared" si="173"/>
        <v>37376.400000000001</v>
      </c>
      <c r="M133">
        <v>2429</v>
      </c>
      <c r="O133">
        <v>2529</v>
      </c>
      <c r="P133">
        <f t="shared" si="174"/>
        <v>40872.6</v>
      </c>
      <c r="Q133">
        <v>2629</v>
      </c>
      <c r="S133">
        <v>2729</v>
      </c>
      <c r="U133">
        <v>2829</v>
      </c>
      <c r="V133">
        <f t="shared" si="175"/>
        <v>45482.2</v>
      </c>
      <c r="W133">
        <v>2929</v>
      </c>
      <c r="Y133">
        <v>3029</v>
      </c>
      <c r="AA133">
        <v>3129</v>
      </c>
      <c r="AC133">
        <v>3229</v>
      </c>
      <c r="AE133">
        <v>3329</v>
      </c>
      <c r="AG133">
        <v>3429</v>
      </c>
      <c r="AI133">
        <v>3529</v>
      </c>
    </row>
    <row r="134" spans="1:35" x14ac:dyDescent="0.3">
      <c r="A134">
        <v>1830</v>
      </c>
      <c r="B134">
        <v>28157</v>
      </c>
      <c r="C134">
        <v>1930</v>
      </c>
      <c r="D134">
        <v>30055</v>
      </c>
      <c r="E134">
        <v>2030</v>
      </c>
      <c r="F134">
        <v>31935</v>
      </c>
      <c r="G134">
        <v>2130</v>
      </c>
      <c r="H134">
        <v>33790</v>
      </c>
      <c r="I134">
        <v>2230</v>
      </c>
      <c r="J134">
        <v>35612</v>
      </c>
      <c r="K134">
        <v>2330</v>
      </c>
      <c r="L134">
        <v>37394</v>
      </c>
      <c r="M134">
        <v>2430</v>
      </c>
      <c r="N134">
        <v>39126</v>
      </c>
      <c r="O134">
        <v>2530</v>
      </c>
      <c r="P134">
        <v>40899</v>
      </c>
      <c r="Q134">
        <v>2630</v>
      </c>
      <c r="R134">
        <v>42404</v>
      </c>
      <c r="S134">
        <v>2730</v>
      </c>
      <c r="T134">
        <v>43928</v>
      </c>
      <c r="U134">
        <v>2830</v>
      </c>
      <c r="V134">
        <v>45358</v>
      </c>
      <c r="W134">
        <v>2930</v>
      </c>
      <c r="X134">
        <v>46677</v>
      </c>
      <c r="Y134">
        <v>3030</v>
      </c>
      <c r="Z134">
        <v>47864</v>
      </c>
      <c r="AA134">
        <v>3130</v>
      </c>
      <c r="AB134">
        <v>48889</v>
      </c>
      <c r="AC134">
        <v>3230</v>
      </c>
      <c r="AD134">
        <v>49704</v>
      </c>
      <c r="AE134">
        <v>3330</v>
      </c>
      <c r="AF134">
        <v>50198</v>
      </c>
      <c r="AG134">
        <v>3430</v>
      </c>
      <c r="AI134">
        <v>3530</v>
      </c>
    </row>
    <row r="135" spans="1:35" x14ac:dyDescent="0.3">
      <c r="A135">
        <v>1831</v>
      </c>
      <c r="B135">
        <f>28157+((28347-28157)/10)*(A135-1830)</f>
        <v>28176</v>
      </c>
      <c r="C135">
        <v>1931</v>
      </c>
      <c r="D135">
        <f t="shared" ref="D135:D143" si="176">30055+((30244-30055)/10)*(C135-1930)</f>
        <v>30073.9</v>
      </c>
      <c r="E135">
        <v>2031</v>
      </c>
      <c r="F135">
        <f>31935+((32122-31935)/10)*(E135-2030)</f>
        <v>31953.7</v>
      </c>
      <c r="G135">
        <v>2131</v>
      </c>
      <c r="H135">
        <f>33790+((33974-33790)/10)*(G135-2130)</f>
        <v>33808.400000000001</v>
      </c>
      <c r="I135">
        <v>2231</v>
      </c>
      <c r="J135">
        <f>35612+((35793-35612)/10)*(I135-2230)</f>
        <v>35630.1</v>
      </c>
      <c r="K135">
        <v>2331</v>
      </c>
      <c r="L135">
        <f>37394+((37569-37394)/10)*(K135-2330)</f>
        <v>37411.5</v>
      </c>
      <c r="M135">
        <v>2431</v>
      </c>
      <c r="N135">
        <f>39126+((39296-39126)/10)*(M135-2430)</f>
        <v>39143</v>
      </c>
      <c r="O135">
        <v>2531</v>
      </c>
      <c r="Q135">
        <v>2631</v>
      </c>
      <c r="R135">
        <f>42404+((42560-42404)/10)*(Q135-2630)</f>
        <v>42419.6</v>
      </c>
      <c r="S135">
        <v>2731</v>
      </c>
      <c r="T135">
        <f>43928+((44076-43928)/10)*(S135-2730)</f>
        <v>43942.8</v>
      </c>
      <c r="U135">
        <v>2831</v>
      </c>
      <c r="W135">
        <v>2931</v>
      </c>
      <c r="Y135">
        <v>3031</v>
      </c>
      <c r="AA135">
        <v>3131</v>
      </c>
      <c r="AC135">
        <v>3231</v>
      </c>
      <c r="AE135">
        <v>3331</v>
      </c>
      <c r="AG135">
        <v>3431</v>
      </c>
      <c r="AI135">
        <v>3531</v>
      </c>
    </row>
    <row r="136" spans="1:35" x14ac:dyDescent="0.3">
      <c r="A136">
        <v>1832</v>
      </c>
      <c r="B136">
        <f t="shared" ref="B136:B143" si="177">28157+((28347-28157)/10)*(A136-1830)</f>
        <v>28195</v>
      </c>
      <c r="C136">
        <v>1932</v>
      </c>
      <c r="D136">
        <f t="shared" si="176"/>
        <v>30092.799999999999</v>
      </c>
      <c r="E136">
        <v>2032</v>
      </c>
      <c r="F136">
        <f t="shared" ref="F136:F143" si="178">31935+((32122-31935)/10)*(E136-2030)</f>
        <v>31972.400000000001</v>
      </c>
      <c r="G136">
        <v>2132</v>
      </c>
      <c r="H136">
        <f t="shared" ref="H136:H143" si="179">33790+((33974-33790)/10)*(G136-2130)</f>
        <v>33826.800000000003</v>
      </c>
      <c r="I136">
        <v>2232</v>
      </c>
      <c r="J136">
        <f t="shared" ref="J136:J143" si="180">35612+((35793-35612)/10)*(I136-2230)</f>
        <v>35648.199999999997</v>
      </c>
      <c r="K136">
        <v>2332</v>
      </c>
      <c r="L136">
        <f t="shared" ref="L136:L143" si="181">37394+((37569-37394)/10)*(K136-2330)</f>
        <v>37429</v>
      </c>
      <c r="M136">
        <v>2432</v>
      </c>
      <c r="N136">
        <f t="shared" ref="N136:N143" si="182">39126+((39296-39126)/10)*(M136-2430)</f>
        <v>39160</v>
      </c>
      <c r="O136">
        <v>2532</v>
      </c>
      <c r="Q136">
        <v>2632</v>
      </c>
      <c r="R136">
        <f t="shared" ref="R136:R143" si="183">42404+((42560-42404)/10)*(Q136-2630)</f>
        <v>42435.199999999997</v>
      </c>
      <c r="S136">
        <v>2732</v>
      </c>
      <c r="T136">
        <f t="shared" ref="T136:T143" si="184">43928+((44076-43928)/10)*(S136-2730)</f>
        <v>43957.599999999999</v>
      </c>
      <c r="U136">
        <v>2832</v>
      </c>
      <c r="W136">
        <v>2932</v>
      </c>
      <c r="Y136">
        <v>3032</v>
      </c>
      <c r="AA136">
        <v>3132</v>
      </c>
      <c r="AC136">
        <v>3232</v>
      </c>
      <c r="AE136">
        <v>3332</v>
      </c>
      <c r="AG136">
        <v>3432</v>
      </c>
      <c r="AI136">
        <v>3532</v>
      </c>
    </row>
    <row r="137" spans="1:35" x14ac:dyDescent="0.3">
      <c r="A137">
        <v>1833</v>
      </c>
      <c r="B137">
        <f t="shared" si="177"/>
        <v>28214</v>
      </c>
      <c r="C137">
        <v>1933</v>
      </c>
      <c r="D137">
        <f t="shared" si="176"/>
        <v>30111.7</v>
      </c>
      <c r="E137">
        <v>2033</v>
      </c>
      <c r="F137">
        <f t="shared" si="178"/>
        <v>31991.1</v>
      </c>
      <c r="G137">
        <v>2133</v>
      </c>
      <c r="H137">
        <f t="shared" si="179"/>
        <v>33845.199999999997</v>
      </c>
      <c r="I137">
        <v>2233</v>
      </c>
      <c r="J137">
        <f t="shared" si="180"/>
        <v>35666.300000000003</v>
      </c>
      <c r="K137">
        <v>2333</v>
      </c>
      <c r="L137">
        <f t="shared" si="181"/>
        <v>37446.5</v>
      </c>
      <c r="M137">
        <v>2433</v>
      </c>
      <c r="N137">
        <f t="shared" si="182"/>
        <v>39177</v>
      </c>
      <c r="O137">
        <v>2533</v>
      </c>
      <c r="Q137">
        <v>2633</v>
      </c>
      <c r="R137">
        <f t="shared" si="183"/>
        <v>42450.8</v>
      </c>
      <c r="S137">
        <v>2733</v>
      </c>
      <c r="T137">
        <f t="shared" si="184"/>
        <v>43972.4</v>
      </c>
      <c r="U137">
        <v>2833</v>
      </c>
      <c r="W137">
        <v>2933</v>
      </c>
      <c r="Y137">
        <v>3033</v>
      </c>
      <c r="AA137">
        <v>3133</v>
      </c>
      <c r="AC137">
        <v>3233</v>
      </c>
      <c r="AE137">
        <v>3333</v>
      </c>
      <c r="AG137">
        <v>3433</v>
      </c>
      <c r="AI137">
        <v>3533</v>
      </c>
    </row>
    <row r="138" spans="1:35" x14ac:dyDescent="0.3">
      <c r="A138">
        <v>1834</v>
      </c>
      <c r="B138">
        <f t="shared" si="177"/>
        <v>28233</v>
      </c>
      <c r="C138">
        <v>1934</v>
      </c>
      <c r="D138">
        <f t="shared" si="176"/>
        <v>30130.6</v>
      </c>
      <c r="E138">
        <v>2034</v>
      </c>
      <c r="F138">
        <f t="shared" si="178"/>
        <v>32009.8</v>
      </c>
      <c r="G138">
        <v>2134</v>
      </c>
      <c r="H138">
        <f t="shared" si="179"/>
        <v>33863.599999999999</v>
      </c>
      <c r="I138">
        <v>2234</v>
      </c>
      <c r="J138">
        <f t="shared" si="180"/>
        <v>35684.400000000001</v>
      </c>
      <c r="K138">
        <v>2334</v>
      </c>
      <c r="L138">
        <f t="shared" si="181"/>
        <v>37464</v>
      </c>
      <c r="M138">
        <v>2434</v>
      </c>
      <c r="N138">
        <f t="shared" si="182"/>
        <v>39194</v>
      </c>
      <c r="O138">
        <v>2534</v>
      </c>
      <c r="Q138">
        <v>2634</v>
      </c>
      <c r="R138">
        <f t="shared" si="183"/>
        <v>42466.400000000001</v>
      </c>
      <c r="S138">
        <v>2734</v>
      </c>
      <c r="T138">
        <f t="shared" si="184"/>
        <v>43987.199999999997</v>
      </c>
      <c r="U138">
        <v>2834</v>
      </c>
      <c r="W138">
        <v>2934</v>
      </c>
      <c r="Y138">
        <v>3034</v>
      </c>
      <c r="AA138">
        <v>3134</v>
      </c>
      <c r="AC138">
        <v>3234</v>
      </c>
      <c r="AE138">
        <v>3334</v>
      </c>
      <c r="AG138">
        <v>3434</v>
      </c>
      <c r="AI138">
        <v>3534</v>
      </c>
    </row>
    <row r="139" spans="1:35" x14ac:dyDescent="0.3">
      <c r="A139">
        <v>1835</v>
      </c>
      <c r="B139">
        <f t="shared" si="177"/>
        <v>28252</v>
      </c>
      <c r="C139">
        <v>1935</v>
      </c>
      <c r="D139">
        <f t="shared" si="176"/>
        <v>30149.5</v>
      </c>
      <c r="E139">
        <v>2035</v>
      </c>
      <c r="F139">
        <f t="shared" si="178"/>
        <v>32028.5</v>
      </c>
      <c r="G139">
        <v>2135</v>
      </c>
      <c r="H139">
        <f t="shared" si="179"/>
        <v>33882</v>
      </c>
      <c r="I139">
        <v>2235</v>
      </c>
      <c r="J139">
        <f t="shared" si="180"/>
        <v>35702.5</v>
      </c>
      <c r="K139">
        <v>2335</v>
      </c>
      <c r="L139">
        <f t="shared" si="181"/>
        <v>37481.5</v>
      </c>
      <c r="M139">
        <v>2435</v>
      </c>
      <c r="N139">
        <f t="shared" si="182"/>
        <v>39211</v>
      </c>
      <c r="O139">
        <v>2535</v>
      </c>
      <c r="Q139">
        <v>2635</v>
      </c>
      <c r="R139">
        <f t="shared" si="183"/>
        <v>42482</v>
      </c>
      <c r="S139">
        <v>2735</v>
      </c>
      <c r="T139">
        <f t="shared" si="184"/>
        <v>44002</v>
      </c>
      <c r="U139">
        <v>2835</v>
      </c>
      <c r="W139">
        <v>2935</v>
      </c>
      <c r="Y139">
        <v>3035</v>
      </c>
      <c r="AA139">
        <v>3135</v>
      </c>
      <c r="AC139">
        <v>3235</v>
      </c>
      <c r="AE139">
        <v>3335</v>
      </c>
      <c r="AG139">
        <v>3435</v>
      </c>
      <c r="AI139">
        <v>3535</v>
      </c>
    </row>
    <row r="140" spans="1:35" x14ac:dyDescent="0.3">
      <c r="A140">
        <v>1836</v>
      </c>
      <c r="B140">
        <f t="shared" si="177"/>
        <v>28271</v>
      </c>
      <c r="C140">
        <v>1936</v>
      </c>
      <c r="D140">
        <f t="shared" si="176"/>
        <v>30168.400000000001</v>
      </c>
      <c r="E140">
        <v>2036</v>
      </c>
      <c r="F140">
        <f t="shared" si="178"/>
        <v>32047.200000000001</v>
      </c>
      <c r="G140">
        <v>2136</v>
      </c>
      <c r="H140">
        <f t="shared" si="179"/>
        <v>33900.400000000001</v>
      </c>
      <c r="I140">
        <v>2236</v>
      </c>
      <c r="J140">
        <f t="shared" si="180"/>
        <v>35720.6</v>
      </c>
      <c r="K140">
        <v>2336</v>
      </c>
      <c r="L140">
        <f t="shared" si="181"/>
        <v>37499</v>
      </c>
      <c r="M140">
        <v>2436</v>
      </c>
      <c r="N140">
        <f t="shared" si="182"/>
        <v>39228</v>
      </c>
      <c r="O140">
        <v>2536</v>
      </c>
      <c r="Q140">
        <v>2636</v>
      </c>
      <c r="R140">
        <f t="shared" si="183"/>
        <v>42497.599999999999</v>
      </c>
      <c r="S140">
        <v>2736</v>
      </c>
      <c r="T140">
        <f t="shared" si="184"/>
        <v>44016.800000000003</v>
      </c>
      <c r="U140">
        <v>2836</v>
      </c>
      <c r="W140">
        <v>2936</v>
      </c>
      <c r="Y140">
        <v>3036</v>
      </c>
      <c r="AA140">
        <v>3136</v>
      </c>
      <c r="AC140">
        <v>3236</v>
      </c>
      <c r="AE140">
        <v>3336</v>
      </c>
      <c r="AG140">
        <v>3436</v>
      </c>
      <c r="AI140">
        <v>3536</v>
      </c>
    </row>
    <row r="141" spans="1:35" x14ac:dyDescent="0.3">
      <c r="A141">
        <v>1837</v>
      </c>
      <c r="B141">
        <f t="shared" si="177"/>
        <v>28290</v>
      </c>
      <c r="C141">
        <v>1937</v>
      </c>
      <c r="D141">
        <f>30055+((30244-30055)/10)*(C141-1930)</f>
        <v>30187.3</v>
      </c>
      <c r="E141">
        <v>2037</v>
      </c>
      <c r="F141">
        <f t="shared" si="178"/>
        <v>32065.9</v>
      </c>
      <c r="G141">
        <v>2137</v>
      </c>
      <c r="H141">
        <f t="shared" si="179"/>
        <v>33918.800000000003</v>
      </c>
      <c r="I141">
        <v>2237</v>
      </c>
      <c r="J141">
        <f t="shared" si="180"/>
        <v>35738.699999999997</v>
      </c>
      <c r="K141">
        <v>2337</v>
      </c>
      <c r="L141">
        <f t="shared" si="181"/>
        <v>37516.5</v>
      </c>
      <c r="M141">
        <v>2437</v>
      </c>
      <c r="N141">
        <f t="shared" si="182"/>
        <v>39245</v>
      </c>
      <c r="O141">
        <v>2537</v>
      </c>
      <c r="Q141">
        <v>2637</v>
      </c>
      <c r="R141">
        <f t="shared" si="183"/>
        <v>42513.2</v>
      </c>
      <c r="S141">
        <v>2737</v>
      </c>
      <c r="T141">
        <f t="shared" si="184"/>
        <v>44031.6</v>
      </c>
      <c r="U141">
        <v>2837</v>
      </c>
      <c r="W141">
        <v>2937</v>
      </c>
      <c r="Y141">
        <v>3037</v>
      </c>
      <c r="AA141">
        <v>3137</v>
      </c>
      <c r="AC141">
        <v>3237</v>
      </c>
      <c r="AE141">
        <v>3337</v>
      </c>
      <c r="AG141">
        <v>3437</v>
      </c>
      <c r="AI141">
        <v>3537</v>
      </c>
    </row>
    <row r="142" spans="1:35" x14ac:dyDescent="0.3">
      <c r="A142">
        <v>1838</v>
      </c>
      <c r="B142">
        <f t="shared" si="177"/>
        <v>28309</v>
      </c>
      <c r="C142">
        <v>1938</v>
      </c>
      <c r="D142">
        <f t="shared" si="176"/>
        <v>30206.2</v>
      </c>
      <c r="E142">
        <v>2038</v>
      </c>
      <c r="F142">
        <f t="shared" si="178"/>
        <v>32084.6</v>
      </c>
      <c r="G142">
        <v>2138</v>
      </c>
      <c r="H142">
        <f t="shared" si="179"/>
        <v>33937.199999999997</v>
      </c>
      <c r="I142">
        <v>2238</v>
      </c>
      <c r="J142">
        <f t="shared" si="180"/>
        <v>35756.800000000003</v>
      </c>
      <c r="K142">
        <v>2338</v>
      </c>
      <c r="L142">
        <f t="shared" si="181"/>
        <v>37534</v>
      </c>
      <c r="M142">
        <v>2438</v>
      </c>
      <c r="N142">
        <f t="shared" si="182"/>
        <v>39262</v>
      </c>
      <c r="O142">
        <v>2538</v>
      </c>
      <c r="Q142">
        <v>2638</v>
      </c>
      <c r="R142">
        <f t="shared" si="183"/>
        <v>42528.800000000003</v>
      </c>
      <c r="S142">
        <v>2738</v>
      </c>
      <c r="T142">
        <f t="shared" si="184"/>
        <v>44046.400000000001</v>
      </c>
      <c r="U142">
        <v>2838</v>
      </c>
      <c r="W142">
        <v>2938</v>
      </c>
      <c r="Y142">
        <v>3038</v>
      </c>
      <c r="AA142">
        <v>3138</v>
      </c>
      <c r="AC142">
        <v>3238</v>
      </c>
      <c r="AE142">
        <v>3338</v>
      </c>
      <c r="AG142">
        <v>3438</v>
      </c>
      <c r="AI142">
        <v>3538</v>
      </c>
    </row>
    <row r="143" spans="1:35" x14ac:dyDescent="0.3">
      <c r="A143">
        <v>1839</v>
      </c>
      <c r="B143">
        <f t="shared" si="177"/>
        <v>28328</v>
      </c>
      <c r="C143">
        <v>1939</v>
      </c>
      <c r="D143">
        <f t="shared" si="176"/>
        <v>30225.1</v>
      </c>
      <c r="E143">
        <v>2039</v>
      </c>
      <c r="F143">
        <f t="shared" si="178"/>
        <v>32103.3</v>
      </c>
      <c r="G143">
        <v>2139</v>
      </c>
      <c r="H143">
        <f t="shared" si="179"/>
        <v>33955.599999999999</v>
      </c>
      <c r="I143">
        <v>2239</v>
      </c>
      <c r="J143">
        <f t="shared" si="180"/>
        <v>35774.9</v>
      </c>
      <c r="K143">
        <v>2339</v>
      </c>
      <c r="L143">
        <f t="shared" si="181"/>
        <v>37551.5</v>
      </c>
      <c r="M143">
        <v>2439</v>
      </c>
      <c r="N143">
        <f t="shared" si="182"/>
        <v>39279</v>
      </c>
      <c r="O143">
        <v>2539</v>
      </c>
      <c r="Q143">
        <v>2639</v>
      </c>
      <c r="R143">
        <f t="shared" si="183"/>
        <v>42544.4</v>
      </c>
      <c r="S143">
        <v>2739</v>
      </c>
      <c r="T143">
        <f t="shared" si="184"/>
        <v>44061.2</v>
      </c>
      <c r="U143">
        <v>2839</v>
      </c>
      <c r="W143">
        <v>2939</v>
      </c>
      <c r="Y143">
        <v>3039</v>
      </c>
      <c r="AA143">
        <v>3139</v>
      </c>
      <c r="AC143">
        <v>3239</v>
      </c>
      <c r="AE143">
        <v>3339</v>
      </c>
      <c r="AG143">
        <v>3439</v>
      </c>
      <c r="AI143">
        <v>3539</v>
      </c>
    </row>
    <row r="144" spans="1:35" x14ac:dyDescent="0.3">
      <c r="A144">
        <v>1840</v>
      </c>
      <c r="B144">
        <v>28347</v>
      </c>
      <c r="C144">
        <v>1940</v>
      </c>
      <c r="D144">
        <v>30244</v>
      </c>
      <c r="E144">
        <v>2040</v>
      </c>
      <c r="F144">
        <v>32122</v>
      </c>
      <c r="G144">
        <v>2140</v>
      </c>
      <c r="H144">
        <v>33974</v>
      </c>
      <c r="I144">
        <v>2240</v>
      </c>
      <c r="J144">
        <v>35793</v>
      </c>
      <c r="K144">
        <v>2340</v>
      </c>
      <c r="L144">
        <v>37569</v>
      </c>
      <c r="M144">
        <v>2440</v>
      </c>
      <c r="N144">
        <v>39296</v>
      </c>
      <c r="O144">
        <v>2540</v>
      </c>
      <c r="P144">
        <v>40963</v>
      </c>
      <c r="Q144">
        <v>2640</v>
      </c>
      <c r="R144">
        <v>42560</v>
      </c>
      <c r="S144">
        <v>2740</v>
      </c>
      <c r="T144">
        <v>44076</v>
      </c>
      <c r="U144">
        <v>2840</v>
      </c>
      <c r="V144">
        <v>45495</v>
      </c>
      <c r="W144">
        <v>2940</v>
      </c>
      <c r="X144">
        <v>46802</v>
      </c>
      <c r="Y144">
        <v>3040</v>
      </c>
      <c r="Z144">
        <v>47974</v>
      </c>
      <c r="AA144">
        <v>3140</v>
      </c>
      <c r="AB144">
        <v>48981</v>
      </c>
      <c r="AC144">
        <v>3240</v>
      </c>
      <c r="AD144">
        <v>49771</v>
      </c>
      <c r="AE144">
        <v>3340</v>
      </c>
      <c r="AF144">
        <v>50214</v>
      </c>
      <c r="AG144">
        <v>3440</v>
      </c>
      <c r="AI144">
        <v>3540</v>
      </c>
    </row>
    <row r="145" spans="1:35" x14ac:dyDescent="0.3">
      <c r="A145">
        <v>1841</v>
      </c>
      <c r="B145">
        <f>28347+((28537-28347)/10)*(A145-1840)</f>
        <v>28366</v>
      </c>
      <c r="C145">
        <v>1941</v>
      </c>
      <c r="D145">
        <f>30244+((30433-30244)/10)*(C145-1940)</f>
        <v>30262.9</v>
      </c>
      <c r="E145">
        <v>2041</v>
      </c>
      <c r="F145">
        <f>32122+((32309-32122)/10)*(E145-2040)</f>
        <v>32140.7</v>
      </c>
      <c r="G145">
        <v>2141</v>
      </c>
      <c r="H145">
        <f>33974+((34158-33974)/10)*(G145-2140)</f>
        <v>33992.400000000001</v>
      </c>
      <c r="I145">
        <v>2241</v>
      </c>
      <c r="J145">
        <f>35793+((35972-35793)/10)*(I145-2240)</f>
        <v>35810.9</v>
      </c>
      <c r="K145">
        <v>2341</v>
      </c>
      <c r="L145">
        <f>37569+((37744-37569)/10)*(K145-2340)</f>
        <v>37586.5</v>
      </c>
      <c r="M145">
        <v>2441</v>
      </c>
      <c r="N145">
        <f>39296+((39466-39296)/10)*(M145-2440)</f>
        <v>39313</v>
      </c>
      <c r="O145">
        <v>2541</v>
      </c>
      <c r="P145">
        <f>40963+((41126-40963)/10)*(O145-2540)</f>
        <v>40979.300000000003</v>
      </c>
      <c r="Q145">
        <v>2641</v>
      </c>
      <c r="R145">
        <f>42560+((42716-42560)/10)*(Q145-2640)</f>
        <v>42575.6</v>
      </c>
      <c r="S145">
        <v>2741</v>
      </c>
      <c r="U145">
        <v>2841</v>
      </c>
      <c r="V145">
        <f>45495+((45631-45495)/10)*(U145-2840)</f>
        <v>45508.6</v>
      </c>
      <c r="W145">
        <v>2941</v>
      </c>
      <c r="X145">
        <f>46802+((46926-46802)/10)*(W145-2940)</f>
        <v>46814.400000000001</v>
      </c>
      <c r="Y145">
        <v>3041</v>
      </c>
      <c r="AA145">
        <v>3141</v>
      </c>
      <c r="AC145">
        <v>3241</v>
      </c>
      <c r="AE145">
        <v>3341</v>
      </c>
      <c r="AG145">
        <v>3441</v>
      </c>
      <c r="AI145">
        <v>3541</v>
      </c>
    </row>
    <row r="146" spans="1:35" x14ac:dyDescent="0.3">
      <c r="A146">
        <v>1842</v>
      </c>
      <c r="B146">
        <f t="shared" ref="B146:B153" si="185">28347+((28537-28347)/10)*(A146-1840)</f>
        <v>28385</v>
      </c>
      <c r="C146">
        <v>1942</v>
      </c>
      <c r="D146">
        <f t="shared" ref="D146:D153" si="186">30244+((30433-30244)/10)*(C146-1940)</f>
        <v>30281.8</v>
      </c>
      <c r="E146">
        <v>2042</v>
      </c>
      <c r="F146">
        <f t="shared" ref="F146:F153" si="187">32122+((32309-32122)/10)*(E146-2040)</f>
        <v>32159.4</v>
      </c>
      <c r="G146">
        <v>2142</v>
      </c>
      <c r="H146">
        <f t="shared" ref="H146:H153" si="188">33974+((34158-33974)/10)*(G146-2140)</f>
        <v>34010.800000000003</v>
      </c>
      <c r="I146">
        <v>2242</v>
      </c>
      <c r="J146">
        <f t="shared" ref="J146:J153" si="189">35793+((35972-35793)/10)*(I146-2240)</f>
        <v>35828.800000000003</v>
      </c>
      <c r="K146">
        <v>2342</v>
      </c>
      <c r="L146">
        <f t="shared" ref="L146:L153" si="190">37569+((37744-37569)/10)*(K146-2340)</f>
        <v>37604</v>
      </c>
      <c r="M146">
        <v>2442</v>
      </c>
      <c r="N146">
        <f t="shared" ref="N146:N153" si="191">39296+((39466-39296)/10)*(M146-2440)</f>
        <v>39330</v>
      </c>
      <c r="O146">
        <v>2542</v>
      </c>
      <c r="P146">
        <f t="shared" ref="P146:P153" si="192">40963+((41126-40963)/10)*(O146-2540)</f>
        <v>40995.599999999999</v>
      </c>
      <c r="Q146">
        <v>2642</v>
      </c>
      <c r="R146">
        <f t="shared" ref="R146:R153" si="193">42560+((42716-42560)/10)*(Q146-2640)</f>
        <v>42591.199999999997</v>
      </c>
      <c r="S146">
        <v>2742</v>
      </c>
      <c r="U146">
        <v>2842</v>
      </c>
      <c r="V146">
        <f t="shared" ref="V146:V153" si="194">45495+((45631-45495)/10)*(U146-2840)</f>
        <v>45522.2</v>
      </c>
      <c r="W146">
        <v>2942</v>
      </c>
      <c r="X146">
        <f t="shared" ref="X146:X153" si="195">46802+((46926-46802)/10)*(W146-2940)</f>
        <v>46826.8</v>
      </c>
      <c r="Y146">
        <v>3042</v>
      </c>
      <c r="AA146">
        <v>3142</v>
      </c>
      <c r="AC146">
        <v>3242</v>
      </c>
      <c r="AE146">
        <v>3342</v>
      </c>
      <c r="AG146">
        <v>3442</v>
      </c>
      <c r="AI146">
        <v>3542</v>
      </c>
    </row>
    <row r="147" spans="1:35" x14ac:dyDescent="0.3">
      <c r="A147">
        <v>1843</v>
      </c>
      <c r="B147">
        <f t="shared" si="185"/>
        <v>28404</v>
      </c>
      <c r="C147">
        <v>1943</v>
      </c>
      <c r="D147">
        <f t="shared" si="186"/>
        <v>30300.7</v>
      </c>
      <c r="E147">
        <v>2043</v>
      </c>
      <c r="F147">
        <f t="shared" si="187"/>
        <v>32178.1</v>
      </c>
      <c r="G147">
        <v>2143</v>
      </c>
      <c r="H147">
        <f t="shared" si="188"/>
        <v>34029.199999999997</v>
      </c>
      <c r="I147">
        <v>2243</v>
      </c>
      <c r="J147">
        <f t="shared" si="189"/>
        <v>35846.699999999997</v>
      </c>
      <c r="K147">
        <v>2343</v>
      </c>
      <c r="L147">
        <f t="shared" si="190"/>
        <v>37621.5</v>
      </c>
      <c r="M147">
        <v>2443</v>
      </c>
      <c r="N147">
        <f t="shared" si="191"/>
        <v>39347</v>
      </c>
      <c r="O147">
        <v>2543</v>
      </c>
      <c r="P147">
        <f t="shared" si="192"/>
        <v>41011.9</v>
      </c>
      <c r="Q147">
        <v>2643</v>
      </c>
      <c r="R147">
        <f t="shared" si="193"/>
        <v>42606.8</v>
      </c>
      <c r="S147">
        <v>2743</v>
      </c>
      <c r="U147">
        <v>2843</v>
      </c>
      <c r="V147">
        <f t="shared" si="194"/>
        <v>45535.8</v>
      </c>
      <c r="W147">
        <v>2943</v>
      </c>
      <c r="X147">
        <f t="shared" si="195"/>
        <v>46839.199999999997</v>
      </c>
      <c r="Y147">
        <v>3043</v>
      </c>
      <c r="AA147">
        <v>3143</v>
      </c>
      <c r="AC147">
        <v>3243</v>
      </c>
      <c r="AE147">
        <v>3343</v>
      </c>
      <c r="AG147">
        <v>3443</v>
      </c>
      <c r="AI147">
        <v>3543</v>
      </c>
    </row>
    <row r="148" spans="1:35" x14ac:dyDescent="0.3">
      <c r="A148">
        <v>1844</v>
      </c>
      <c r="B148">
        <f t="shared" si="185"/>
        <v>28423</v>
      </c>
      <c r="C148">
        <v>1944</v>
      </c>
      <c r="D148">
        <f t="shared" si="186"/>
        <v>30319.599999999999</v>
      </c>
      <c r="E148">
        <v>2044</v>
      </c>
      <c r="F148">
        <f t="shared" si="187"/>
        <v>32196.799999999999</v>
      </c>
      <c r="G148">
        <v>2144</v>
      </c>
      <c r="H148">
        <f t="shared" si="188"/>
        <v>34047.599999999999</v>
      </c>
      <c r="I148">
        <v>2244</v>
      </c>
      <c r="J148">
        <f t="shared" si="189"/>
        <v>35864.6</v>
      </c>
      <c r="K148">
        <v>2344</v>
      </c>
      <c r="L148">
        <f t="shared" si="190"/>
        <v>37639</v>
      </c>
      <c r="M148">
        <v>2444</v>
      </c>
      <c r="N148">
        <f t="shared" si="191"/>
        <v>39364</v>
      </c>
      <c r="O148">
        <v>2544</v>
      </c>
      <c r="P148">
        <f t="shared" si="192"/>
        <v>41028.199999999997</v>
      </c>
      <c r="Q148">
        <v>2644</v>
      </c>
      <c r="R148">
        <f t="shared" si="193"/>
        <v>42622.400000000001</v>
      </c>
      <c r="S148">
        <v>2744</v>
      </c>
      <c r="U148">
        <v>2844</v>
      </c>
      <c r="V148">
        <f t="shared" si="194"/>
        <v>45549.4</v>
      </c>
      <c r="W148">
        <v>2944</v>
      </c>
      <c r="X148">
        <f t="shared" si="195"/>
        <v>46851.6</v>
      </c>
      <c r="Y148">
        <v>3044</v>
      </c>
      <c r="AA148">
        <v>3144</v>
      </c>
      <c r="AC148">
        <v>3244</v>
      </c>
      <c r="AE148">
        <v>3344</v>
      </c>
      <c r="AG148">
        <v>3444</v>
      </c>
      <c r="AI148">
        <v>3544</v>
      </c>
    </row>
    <row r="149" spans="1:35" x14ac:dyDescent="0.3">
      <c r="A149">
        <v>1845</v>
      </c>
      <c r="B149">
        <f t="shared" si="185"/>
        <v>28442</v>
      </c>
      <c r="C149">
        <v>1945</v>
      </c>
      <c r="D149">
        <f t="shared" si="186"/>
        <v>30338.5</v>
      </c>
      <c r="E149">
        <v>2045</v>
      </c>
      <c r="F149">
        <f t="shared" si="187"/>
        <v>32215.5</v>
      </c>
      <c r="G149">
        <v>2145</v>
      </c>
      <c r="H149">
        <f t="shared" si="188"/>
        <v>34066</v>
      </c>
      <c r="I149">
        <v>2245</v>
      </c>
      <c r="J149">
        <f t="shared" si="189"/>
        <v>35882.5</v>
      </c>
      <c r="K149">
        <v>2345</v>
      </c>
      <c r="L149">
        <f t="shared" si="190"/>
        <v>37656.5</v>
      </c>
      <c r="M149">
        <v>2445</v>
      </c>
      <c r="N149">
        <f t="shared" si="191"/>
        <v>39381</v>
      </c>
      <c r="O149">
        <v>2545</v>
      </c>
      <c r="P149">
        <f t="shared" si="192"/>
        <v>41044.5</v>
      </c>
      <c r="Q149">
        <v>2645</v>
      </c>
      <c r="R149">
        <f t="shared" si="193"/>
        <v>42638</v>
      </c>
      <c r="S149">
        <v>2745</v>
      </c>
      <c r="U149">
        <v>2845</v>
      </c>
      <c r="V149">
        <f t="shared" si="194"/>
        <v>45563</v>
      </c>
      <c r="W149">
        <v>2945</v>
      </c>
      <c r="X149">
        <f t="shared" si="195"/>
        <v>46864</v>
      </c>
      <c r="Y149">
        <v>3045</v>
      </c>
      <c r="AA149">
        <v>3145</v>
      </c>
      <c r="AC149">
        <v>3245</v>
      </c>
      <c r="AE149">
        <v>3345</v>
      </c>
      <c r="AG149">
        <v>3445</v>
      </c>
      <c r="AI149">
        <v>3545</v>
      </c>
    </row>
    <row r="150" spans="1:35" x14ac:dyDescent="0.3">
      <c r="A150">
        <v>1846</v>
      </c>
      <c r="B150">
        <f t="shared" si="185"/>
        <v>28461</v>
      </c>
      <c r="C150">
        <v>1946</v>
      </c>
      <c r="D150">
        <f t="shared" si="186"/>
        <v>30357.4</v>
      </c>
      <c r="E150">
        <v>2046</v>
      </c>
      <c r="F150">
        <f t="shared" si="187"/>
        <v>32234.2</v>
      </c>
      <c r="G150">
        <v>2146</v>
      </c>
      <c r="H150">
        <f t="shared" si="188"/>
        <v>34084.400000000001</v>
      </c>
      <c r="I150">
        <v>2246</v>
      </c>
      <c r="J150">
        <f t="shared" si="189"/>
        <v>35900.400000000001</v>
      </c>
      <c r="K150">
        <v>2346</v>
      </c>
      <c r="L150">
        <f t="shared" si="190"/>
        <v>37674</v>
      </c>
      <c r="M150">
        <v>2446</v>
      </c>
      <c r="N150">
        <f t="shared" si="191"/>
        <v>39398</v>
      </c>
      <c r="O150">
        <v>2546</v>
      </c>
      <c r="P150">
        <f t="shared" si="192"/>
        <v>41060.800000000003</v>
      </c>
      <c r="Q150">
        <v>2646</v>
      </c>
      <c r="R150">
        <f t="shared" si="193"/>
        <v>42653.599999999999</v>
      </c>
      <c r="S150">
        <v>2746</v>
      </c>
      <c r="U150">
        <v>2846</v>
      </c>
      <c r="V150">
        <f t="shared" si="194"/>
        <v>45576.6</v>
      </c>
      <c r="W150">
        <v>2946</v>
      </c>
      <c r="X150">
        <f t="shared" si="195"/>
        <v>46876.4</v>
      </c>
      <c r="Y150">
        <v>3046</v>
      </c>
      <c r="AA150">
        <v>3146</v>
      </c>
      <c r="AC150">
        <v>3246</v>
      </c>
      <c r="AE150">
        <v>3346</v>
      </c>
      <c r="AG150">
        <v>3446</v>
      </c>
      <c r="AI150">
        <v>3546</v>
      </c>
    </row>
    <row r="151" spans="1:35" x14ac:dyDescent="0.3">
      <c r="A151">
        <v>1847</v>
      </c>
      <c r="B151">
        <f t="shared" si="185"/>
        <v>28480</v>
      </c>
      <c r="C151">
        <v>1947</v>
      </c>
      <c r="D151">
        <f t="shared" si="186"/>
        <v>30376.3</v>
      </c>
      <c r="E151">
        <v>2047</v>
      </c>
      <c r="F151">
        <f t="shared" si="187"/>
        <v>32252.9</v>
      </c>
      <c r="G151">
        <v>2147</v>
      </c>
      <c r="H151">
        <f t="shared" si="188"/>
        <v>34102.800000000003</v>
      </c>
      <c r="I151">
        <v>2247</v>
      </c>
      <c r="J151">
        <f t="shared" si="189"/>
        <v>35918.300000000003</v>
      </c>
      <c r="K151">
        <v>2347</v>
      </c>
      <c r="L151">
        <f t="shared" si="190"/>
        <v>37691.5</v>
      </c>
      <c r="M151">
        <v>2447</v>
      </c>
      <c r="N151">
        <f t="shared" si="191"/>
        <v>39415</v>
      </c>
      <c r="O151">
        <v>2547</v>
      </c>
      <c r="P151">
        <f t="shared" si="192"/>
        <v>41077.1</v>
      </c>
      <c r="Q151">
        <v>2647</v>
      </c>
      <c r="R151">
        <f t="shared" si="193"/>
        <v>42669.2</v>
      </c>
      <c r="S151">
        <v>2747</v>
      </c>
      <c r="U151">
        <v>2847</v>
      </c>
      <c r="V151">
        <f t="shared" si="194"/>
        <v>45590.2</v>
      </c>
      <c r="W151">
        <v>2947</v>
      </c>
      <c r="X151">
        <f t="shared" si="195"/>
        <v>46888.800000000003</v>
      </c>
      <c r="Y151">
        <v>3047</v>
      </c>
      <c r="AA151">
        <v>3147</v>
      </c>
      <c r="AC151">
        <v>3247</v>
      </c>
      <c r="AE151">
        <v>3347</v>
      </c>
      <c r="AG151">
        <v>3447</v>
      </c>
      <c r="AI151">
        <v>3547</v>
      </c>
    </row>
    <row r="152" spans="1:35" x14ac:dyDescent="0.3">
      <c r="A152">
        <v>1848</v>
      </c>
      <c r="B152">
        <f t="shared" si="185"/>
        <v>28499</v>
      </c>
      <c r="C152">
        <v>1948</v>
      </c>
      <c r="D152">
        <f t="shared" si="186"/>
        <v>30395.200000000001</v>
      </c>
      <c r="E152">
        <v>2048</v>
      </c>
      <c r="F152">
        <f t="shared" si="187"/>
        <v>32271.599999999999</v>
      </c>
      <c r="G152">
        <v>2148</v>
      </c>
      <c r="H152">
        <f t="shared" si="188"/>
        <v>34121.199999999997</v>
      </c>
      <c r="I152">
        <v>2248</v>
      </c>
      <c r="J152">
        <f t="shared" si="189"/>
        <v>35936.199999999997</v>
      </c>
      <c r="K152">
        <v>2348</v>
      </c>
      <c r="L152">
        <f t="shared" si="190"/>
        <v>37709</v>
      </c>
      <c r="M152">
        <v>2448</v>
      </c>
      <c r="N152">
        <f t="shared" si="191"/>
        <v>39432</v>
      </c>
      <c r="O152">
        <v>2548</v>
      </c>
      <c r="P152">
        <f t="shared" si="192"/>
        <v>41093.4</v>
      </c>
      <c r="Q152">
        <v>2648</v>
      </c>
      <c r="R152">
        <f t="shared" si="193"/>
        <v>42684.800000000003</v>
      </c>
      <c r="S152">
        <v>2748</v>
      </c>
      <c r="U152">
        <v>2848</v>
      </c>
      <c r="V152">
        <f t="shared" si="194"/>
        <v>45603.8</v>
      </c>
      <c r="W152">
        <v>2948</v>
      </c>
      <c r="X152">
        <f t="shared" si="195"/>
        <v>46901.2</v>
      </c>
      <c r="Y152">
        <v>3048</v>
      </c>
      <c r="AA152">
        <v>3148</v>
      </c>
      <c r="AC152">
        <v>3248</v>
      </c>
      <c r="AE152">
        <v>3348</v>
      </c>
      <c r="AG152">
        <v>3448</v>
      </c>
      <c r="AI152">
        <v>3548</v>
      </c>
    </row>
    <row r="153" spans="1:35" x14ac:dyDescent="0.3">
      <c r="A153">
        <v>1849</v>
      </c>
      <c r="B153">
        <f t="shared" si="185"/>
        <v>28518</v>
      </c>
      <c r="C153">
        <v>1949</v>
      </c>
      <c r="D153">
        <f t="shared" si="186"/>
        <v>30414.1</v>
      </c>
      <c r="E153">
        <v>2049</v>
      </c>
      <c r="F153">
        <f t="shared" si="187"/>
        <v>32290.3</v>
      </c>
      <c r="G153">
        <v>2149</v>
      </c>
      <c r="H153">
        <f t="shared" si="188"/>
        <v>34139.599999999999</v>
      </c>
      <c r="I153">
        <v>2249</v>
      </c>
      <c r="J153">
        <f t="shared" si="189"/>
        <v>35954.1</v>
      </c>
      <c r="K153">
        <v>2349</v>
      </c>
      <c r="L153">
        <f t="shared" si="190"/>
        <v>37726.5</v>
      </c>
      <c r="M153">
        <v>2449</v>
      </c>
      <c r="N153">
        <f t="shared" si="191"/>
        <v>39449</v>
      </c>
      <c r="O153">
        <v>2549</v>
      </c>
      <c r="P153">
        <f t="shared" si="192"/>
        <v>41109.699999999997</v>
      </c>
      <c r="Q153">
        <v>2649</v>
      </c>
      <c r="R153">
        <f t="shared" si="193"/>
        <v>42700.4</v>
      </c>
      <c r="S153">
        <v>2749</v>
      </c>
      <c r="U153">
        <v>2849</v>
      </c>
      <c r="V153">
        <f t="shared" si="194"/>
        <v>45617.4</v>
      </c>
      <c r="W153">
        <v>2949</v>
      </c>
      <c r="X153">
        <f t="shared" si="195"/>
        <v>46913.599999999999</v>
      </c>
      <c r="Y153">
        <v>3049</v>
      </c>
      <c r="AA153">
        <v>3149</v>
      </c>
      <c r="AC153">
        <v>3249</v>
      </c>
      <c r="AE153">
        <v>3349</v>
      </c>
      <c r="AG153">
        <v>3449</v>
      </c>
      <c r="AI153">
        <v>3549</v>
      </c>
    </row>
    <row r="154" spans="1:35" x14ac:dyDescent="0.3">
      <c r="A154">
        <v>1850</v>
      </c>
      <c r="B154">
        <v>28537</v>
      </c>
      <c r="C154">
        <v>1950</v>
      </c>
      <c r="D154">
        <v>30433</v>
      </c>
      <c r="E154">
        <v>2050</v>
      </c>
      <c r="F154">
        <v>32309</v>
      </c>
      <c r="G154">
        <v>2150</v>
      </c>
      <c r="H154">
        <v>34158</v>
      </c>
      <c r="I154">
        <v>2250</v>
      </c>
      <c r="J154">
        <v>35972</v>
      </c>
      <c r="K154">
        <v>2350</v>
      </c>
      <c r="L154">
        <v>37744</v>
      </c>
      <c r="M154">
        <v>2450</v>
      </c>
      <c r="N154">
        <v>39466</v>
      </c>
      <c r="O154">
        <v>2550</v>
      </c>
      <c r="P154">
        <v>41126</v>
      </c>
      <c r="Q154">
        <v>2650</v>
      </c>
      <c r="R154">
        <v>42716</v>
      </c>
      <c r="S154">
        <v>2750</v>
      </c>
      <c r="T154">
        <v>44222</v>
      </c>
      <c r="U154">
        <v>2850</v>
      </c>
      <c r="V154">
        <v>45631</v>
      </c>
      <c r="W154">
        <v>2950</v>
      </c>
      <c r="X154">
        <v>46926</v>
      </c>
      <c r="Y154">
        <v>3050</v>
      </c>
      <c r="Z154">
        <v>48083</v>
      </c>
      <c r="AA154">
        <v>3150</v>
      </c>
      <c r="AB154">
        <v>49071</v>
      </c>
      <c r="AC154">
        <v>3250</v>
      </c>
      <c r="AD154">
        <v>49835</v>
      </c>
      <c r="AE154">
        <v>3350</v>
      </c>
      <c r="AG154">
        <v>3450</v>
      </c>
      <c r="AI154">
        <v>3550</v>
      </c>
    </row>
    <row r="155" spans="1:35" x14ac:dyDescent="0.3">
      <c r="A155">
        <v>1851</v>
      </c>
      <c r="B155">
        <f>28537+((28728-28537)/10)*(A155-1850)</f>
        <v>28556.1</v>
      </c>
      <c r="C155">
        <v>1951</v>
      </c>
      <c r="D155">
        <f>30433+((30651-30433)/10)*(C155-1950)</f>
        <v>30454.799999999999</v>
      </c>
      <c r="E155">
        <v>2051</v>
      </c>
      <c r="F155">
        <f>32309+((32495-32309)/10)*(E155-2050)</f>
        <v>32327.599999999999</v>
      </c>
      <c r="G155">
        <v>2151</v>
      </c>
      <c r="H155">
        <f>34158+((34341-34158)/10)*(G155-2150)</f>
        <v>34176.300000000003</v>
      </c>
      <c r="I155">
        <v>2251</v>
      </c>
      <c r="J155">
        <f>35972+((36152-35972)/10)*(I155-2250)</f>
        <v>35990</v>
      </c>
      <c r="K155">
        <v>2351</v>
      </c>
      <c r="L155">
        <f>37744+((37919-37744)/10)*(K155-2350)</f>
        <v>37761.5</v>
      </c>
      <c r="M155">
        <v>2451</v>
      </c>
      <c r="N155">
        <f>39466+((39635-39466)/10)*(M155-2450)</f>
        <v>39482.9</v>
      </c>
      <c r="O155">
        <v>2551</v>
      </c>
      <c r="P155">
        <f>41126+((41289-41126)/10)*(O155-2550)</f>
        <v>41142.300000000003</v>
      </c>
      <c r="Q155">
        <v>2651</v>
      </c>
      <c r="S155">
        <v>2751</v>
      </c>
      <c r="T155">
        <f>44222+((44368-44222)/10)*(S155-2750)</f>
        <v>44236.6</v>
      </c>
      <c r="U155">
        <v>2851</v>
      </c>
      <c r="V155">
        <f>45631+((45766-45631)/10)*(U155-2850)</f>
        <v>45644.5</v>
      </c>
      <c r="W155">
        <v>2951</v>
      </c>
      <c r="X155">
        <f>46929+((47048-46926)/10)*(W155-2950)</f>
        <v>46941.2</v>
      </c>
      <c r="Y155">
        <v>3051</v>
      </c>
      <c r="AA155">
        <v>3151</v>
      </c>
      <c r="AC155">
        <v>3251</v>
      </c>
      <c r="AE155">
        <v>3351</v>
      </c>
      <c r="AG155">
        <v>3451</v>
      </c>
      <c r="AI155">
        <v>3551</v>
      </c>
    </row>
    <row r="156" spans="1:35" x14ac:dyDescent="0.3">
      <c r="A156">
        <v>1852</v>
      </c>
      <c r="B156">
        <f t="shared" ref="B156:B163" si="196">28537+((28728-28537)/10)*(A156-1850)</f>
        <v>28575.200000000001</v>
      </c>
      <c r="C156">
        <v>1952</v>
      </c>
      <c r="D156">
        <f t="shared" ref="D156:D163" si="197">30433+((30651-30433)/10)*(C156-1950)</f>
        <v>30476.6</v>
      </c>
      <c r="E156">
        <v>2052</v>
      </c>
      <c r="F156">
        <f t="shared" ref="F156:F163" si="198">32309+((32495-32309)/10)*(E156-2050)</f>
        <v>32346.2</v>
      </c>
      <c r="G156">
        <v>2152</v>
      </c>
      <c r="H156">
        <f>34158+((34341-34158)/10)*(G156-2150)</f>
        <v>34194.6</v>
      </c>
      <c r="I156">
        <v>2252</v>
      </c>
      <c r="J156">
        <f t="shared" ref="J156:J163" si="199">35972+((36152-35972)/10)*(I156-2250)</f>
        <v>36008</v>
      </c>
      <c r="K156">
        <v>2352</v>
      </c>
      <c r="L156">
        <f t="shared" ref="L156:L163" si="200">37744+((37919-37744)/10)*(K156-2350)</f>
        <v>37779</v>
      </c>
      <c r="M156">
        <v>2452</v>
      </c>
      <c r="N156">
        <f t="shared" ref="N156:N163" si="201">39466+((39635-39466)/10)*(M156-2450)</f>
        <v>39499.800000000003</v>
      </c>
      <c r="O156">
        <v>2552</v>
      </c>
      <c r="P156">
        <f t="shared" ref="P156:P163" si="202">41126+((41289-41126)/10)*(O156-2550)</f>
        <v>41158.6</v>
      </c>
      <c r="Q156">
        <v>2652</v>
      </c>
      <c r="S156">
        <v>2752</v>
      </c>
      <c r="T156">
        <f t="shared" ref="T156:T163" si="203">44222+((44368-44222)/10)*(S156-2750)</f>
        <v>44251.199999999997</v>
      </c>
      <c r="U156">
        <v>2852</v>
      </c>
      <c r="V156">
        <f t="shared" ref="V156:V163" si="204">45631+((45766-45631)/10)*(U156-2850)</f>
        <v>45658</v>
      </c>
      <c r="W156">
        <v>2952</v>
      </c>
      <c r="X156">
        <f t="shared" ref="X156:X163" si="205">46929+((47048-46926)/10)*(W156-2950)</f>
        <v>46953.4</v>
      </c>
      <c r="Y156">
        <v>3052</v>
      </c>
      <c r="AA156">
        <v>3152</v>
      </c>
      <c r="AC156">
        <v>3252</v>
      </c>
      <c r="AE156">
        <v>3352</v>
      </c>
      <c r="AG156">
        <v>3452</v>
      </c>
      <c r="AI156">
        <v>3552</v>
      </c>
    </row>
    <row r="157" spans="1:35" x14ac:dyDescent="0.3">
      <c r="A157">
        <v>1853</v>
      </c>
      <c r="B157">
        <f t="shared" si="196"/>
        <v>28594.3</v>
      </c>
      <c r="C157">
        <v>1953</v>
      </c>
      <c r="D157">
        <f t="shared" si="197"/>
        <v>30498.400000000001</v>
      </c>
      <c r="E157">
        <v>2053</v>
      </c>
      <c r="F157">
        <f t="shared" si="198"/>
        <v>32364.799999999999</v>
      </c>
      <c r="G157">
        <v>2153</v>
      </c>
      <c r="H157">
        <f t="shared" ref="H157:H163" si="206">34158+((34341-34158)/10)*(G157-2150)</f>
        <v>34212.9</v>
      </c>
      <c r="I157">
        <v>2253</v>
      </c>
      <c r="J157">
        <f t="shared" si="199"/>
        <v>36026</v>
      </c>
      <c r="K157">
        <v>2353</v>
      </c>
      <c r="L157">
        <f t="shared" si="200"/>
        <v>37796.5</v>
      </c>
      <c r="M157">
        <v>2453</v>
      </c>
      <c r="N157">
        <f t="shared" si="201"/>
        <v>39516.699999999997</v>
      </c>
      <c r="O157">
        <v>2553</v>
      </c>
      <c r="P157">
        <f t="shared" si="202"/>
        <v>41174.9</v>
      </c>
      <c r="Q157">
        <v>2653</v>
      </c>
      <c r="S157">
        <v>2753</v>
      </c>
      <c r="T157">
        <f t="shared" si="203"/>
        <v>44265.8</v>
      </c>
      <c r="U157">
        <v>2853</v>
      </c>
      <c r="V157">
        <f t="shared" si="204"/>
        <v>45671.5</v>
      </c>
      <c r="W157">
        <v>2953</v>
      </c>
      <c r="X157">
        <f t="shared" si="205"/>
        <v>46965.599999999999</v>
      </c>
      <c r="Y157">
        <v>3053</v>
      </c>
      <c r="AA157">
        <v>3153</v>
      </c>
      <c r="AC157">
        <v>3253</v>
      </c>
      <c r="AE157">
        <v>3353</v>
      </c>
      <c r="AG157">
        <v>3453</v>
      </c>
      <c r="AI157">
        <v>3553</v>
      </c>
    </row>
    <row r="158" spans="1:35" x14ac:dyDescent="0.3">
      <c r="A158">
        <v>1854</v>
      </c>
      <c r="B158">
        <f t="shared" si="196"/>
        <v>28613.4</v>
      </c>
      <c r="C158">
        <v>1954</v>
      </c>
      <c r="D158">
        <f t="shared" si="197"/>
        <v>30520.2</v>
      </c>
      <c r="E158">
        <v>2054</v>
      </c>
      <c r="F158">
        <f t="shared" si="198"/>
        <v>32383.4</v>
      </c>
      <c r="G158">
        <v>2154</v>
      </c>
      <c r="H158">
        <f t="shared" si="206"/>
        <v>34231.199999999997</v>
      </c>
      <c r="I158">
        <v>2254</v>
      </c>
      <c r="J158">
        <f t="shared" si="199"/>
        <v>36044</v>
      </c>
      <c r="K158">
        <v>2354</v>
      </c>
      <c r="L158" t="s">
        <v>37</v>
      </c>
      <c r="M158">
        <v>2454</v>
      </c>
      <c r="N158">
        <f t="shared" si="201"/>
        <v>39533.599999999999</v>
      </c>
      <c r="O158">
        <v>2554</v>
      </c>
      <c r="P158">
        <f t="shared" si="202"/>
        <v>41191.199999999997</v>
      </c>
      <c r="Q158">
        <v>2654</v>
      </c>
      <c r="S158">
        <v>2754</v>
      </c>
      <c r="T158">
        <f t="shared" si="203"/>
        <v>44280.4</v>
      </c>
      <c r="U158">
        <v>2854</v>
      </c>
      <c r="V158">
        <f t="shared" si="204"/>
        <v>45685</v>
      </c>
      <c r="W158">
        <v>2954</v>
      </c>
      <c r="X158">
        <f t="shared" si="205"/>
        <v>46977.8</v>
      </c>
      <c r="Y158">
        <v>3054</v>
      </c>
      <c r="AA158">
        <v>3154</v>
      </c>
      <c r="AC158">
        <v>3254</v>
      </c>
      <c r="AE158">
        <v>3354</v>
      </c>
      <c r="AG158">
        <v>3454</v>
      </c>
      <c r="AI158">
        <v>3554</v>
      </c>
    </row>
    <row r="159" spans="1:35" x14ac:dyDescent="0.3">
      <c r="A159">
        <v>1855</v>
      </c>
      <c r="B159">
        <f t="shared" si="196"/>
        <v>28632.5</v>
      </c>
      <c r="C159">
        <v>1955</v>
      </c>
      <c r="D159">
        <f t="shared" si="197"/>
        <v>30542</v>
      </c>
      <c r="E159">
        <v>2055</v>
      </c>
      <c r="F159">
        <f t="shared" si="198"/>
        <v>32402</v>
      </c>
      <c r="G159">
        <v>2155</v>
      </c>
      <c r="H159">
        <f t="shared" si="206"/>
        <v>34249.5</v>
      </c>
      <c r="I159">
        <v>2255</v>
      </c>
      <c r="J159">
        <f t="shared" si="199"/>
        <v>36062</v>
      </c>
      <c r="K159">
        <v>2355</v>
      </c>
      <c r="L159">
        <f t="shared" si="200"/>
        <v>37831.5</v>
      </c>
      <c r="M159">
        <v>2455</v>
      </c>
      <c r="N159">
        <f t="shared" si="201"/>
        <v>39550.5</v>
      </c>
      <c r="O159">
        <v>2555</v>
      </c>
      <c r="P159">
        <f t="shared" si="202"/>
        <v>41207.5</v>
      </c>
      <c r="Q159">
        <v>2655</v>
      </c>
      <c r="S159">
        <v>2755</v>
      </c>
      <c r="T159">
        <f t="shared" si="203"/>
        <v>44295</v>
      </c>
      <c r="U159">
        <v>2855</v>
      </c>
      <c r="V159">
        <f t="shared" si="204"/>
        <v>45698.5</v>
      </c>
      <c r="W159">
        <v>2955</v>
      </c>
      <c r="X159">
        <f t="shared" si="205"/>
        <v>46990</v>
      </c>
      <c r="Y159">
        <v>3055</v>
      </c>
      <c r="AA159">
        <v>3155</v>
      </c>
      <c r="AC159">
        <v>3255</v>
      </c>
      <c r="AE159">
        <v>3355</v>
      </c>
      <c r="AG159">
        <v>3455</v>
      </c>
      <c r="AI159">
        <v>3555</v>
      </c>
    </row>
    <row r="160" spans="1:35" x14ac:dyDescent="0.3">
      <c r="A160">
        <v>1856</v>
      </c>
      <c r="B160">
        <f t="shared" si="196"/>
        <v>28651.599999999999</v>
      </c>
      <c r="C160">
        <v>1956</v>
      </c>
      <c r="D160">
        <f t="shared" si="197"/>
        <v>30563.8</v>
      </c>
      <c r="E160">
        <v>2056</v>
      </c>
      <c r="F160">
        <f t="shared" si="198"/>
        <v>32420.6</v>
      </c>
      <c r="G160">
        <v>2156</v>
      </c>
      <c r="H160">
        <f t="shared" si="206"/>
        <v>34267.800000000003</v>
      </c>
      <c r="I160">
        <v>2256</v>
      </c>
      <c r="J160">
        <f t="shared" si="199"/>
        <v>36080</v>
      </c>
      <c r="K160">
        <v>2356</v>
      </c>
      <c r="L160">
        <f t="shared" si="200"/>
        <v>37849</v>
      </c>
      <c r="M160">
        <v>2456</v>
      </c>
      <c r="N160">
        <f t="shared" si="201"/>
        <v>39567.4</v>
      </c>
      <c r="O160">
        <v>2556</v>
      </c>
      <c r="P160">
        <f t="shared" si="202"/>
        <v>41223.800000000003</v>
      </c>
      <c r="Q160">
        <v>2656</v>
      </c>
      <c r="S160">
        <v>2756</v>
      </c>
      <c r="T160">
        <f t="shared" si="203"/>
        <v>44309.599999999999</v>
      </c>
      <c r="U160">
        <v>2856</v>
      </c>
      <c r="V160">
        <f t="shared" si="204"/>
        <v>45712</v>
      </c>
      <c r="W160">
        <v>2956</v>
      </c>
      <c r="X160">
        <f t="shared" si="205"/>
        <v>47002.2</v>
      </c>
      <c r="Y160">
        <v>3056</v>
      </c>
      <c r="AA160">
        <v>3156</v>
      </c>
      <c r="AC160">
        <v>3256</v>
      </c>
      <c r="AE160">
        <v>3356</v>
      </c>
      <c r="AG160">
        <v>3456</v>
      </c>
      <c r="AI160">
        <v>3556</v>
      </c>
    </row>
    <row r="161" spans="1:35" x14ac:dyDescent="0.3">
      <c r="A161">
        <v>1857</v>
      </c>
      <c r="B161">
        <f t="shared" si="196"/>
        <v>28670.7</v>
      </c>
      <c r="C161">
        <v>1957</v>
      </c>
      <c r="D161">
        <f t="shared" si="197"/>
        <v>30585.599999999999</v>
      </c>
      <c r="E161">
        <v>2057</v>
      </c>
      <c r="F161">
        <f t="shared" si="198"/>
        <v>32439.200000000001</v>
      </c>
      <c r="G161">
        <v>2157</v>
      </c>
      <c r="H161">
        <f t="shared" si="206"/>
        <v>34286.1</v>
      </c>
      <c r="I161">
        <v>2257</v>
      </c>
      <c r="J161">
        <f t="shared" si="199"/>
        <v>36098</v>
      </c>
      <c r="K161">
        <v>2357</v>
      </c>
      <c r="L161">
        <f t="shared" si="200"/>
        <v>37866.5</v>
      </c>
      <c r="M161">
        <v>2457</v>
      </c>
      <c r="N161">
        <f t="shared" si="201"/>
        <v>39584.300000000003</v>
      </c>
      <c r="O161">
        <v>2557</v>
      </c>
      <c r="P161">
        <f t="shared" si="202"/>
        <v>41240.1</v>
      </c>
      <c r="Q161">
        <v>2657</v>
      </c>
      <c r="S161">
        <v>2757</v>
      </c>
      <c r="T161">
        <f t="shared" si="203"/>
        <v>44324.2</v>
      </c>
      <c r="U161">
        <v>2857</v>
      </c>
      <c r="V161">
        <f t="shared" si="204"/>
        <v>45725.5</v>
      </c>
      <c r="W161">
        <v>2957</v>
      </c>
      <c r="X161">
        <f t="shared" si="205"/>
        <v>47014.400000000001</v>
      </c>
      <c r="Y161">
        <v>3057</v>
      </c>
      <c r="AA161">
        <v>3157</v>
      </c>
      <c r="AC161">
        <v>3257</v>
      </c>
      <c r="AE161">
        <v>3357</v>
      </c>
      <c r="AG161">
        <v>3457</v>
      </c>
      <c r="AI161">
        <v>3557</v>
      </c>
    </row>
    <row r="162" spans="1:35" x14ac:dyDescent="0.3">
      <c r="A162">
        <v>1858</v>
      </c>
      <c r="B162">
        <f t="shared" si="196"/>
        <v>28689.8</v>
      </c>
      <c r="C162">
        <v>1958</v>
      </c>
      <c r="D162">
        <f t="shared" si="197"/>
        <v>30607.4</v>
      </c>
      <c r="E162">
        <v>2058</v>
      </c>
      <c r="F162">
        <f t="shared" si="198"/>
        <v>32457.8</v>
      </c>
      <c r="G162">
        <v>2158</v>
      </c>
      <c r="H162">
        <f t="shared" si="206"/>
        <v>34304.400000000001</v>
      </c>
      <c r="I162">
        <v>2258</v>
      </c>
      <c r="J162">
        <f t="shared" si="199"/>
        <v>36116</v>
      </c>
      <c r="K162">
        <v>2358</v>
      </c>
      <c r="L162">
        <f t="shared" si="200"/>
        <v>37884</v>
      </c>
      <c r="M162">
        <v>2458</v>
      </c>
      <c r="N162">
        <f t="shared" si="201"/>
        <v>39601.199999999997</v>
      </c>
      <c r="O162">
        <v>2558</v>
      </c>
      <c r="P162">
        <f t="shared" si="202"/>
        <v>41256.400000000001</v>
      </c>
      <c r="Q162">
        <v>2658</v>
      </c>
      <c r="S162">
        <v>2758</v>
      </c>
      <c r="T162">
        <f t="shared" si="203"/>
        <v>44338.8</v>
      </c>
      <c r="U162">
        <v>2858</v>
      </c>
      <c r="V162">
        <f t="shared" si="204"/>
        <v>45739</v>
      </c>
      <c r="W162">
        <v>2958</v>
      </c>
      <c r="X162">
        <f t="shared" si="205"/>
        <v>47026.6</v>
      </c>
      <c r="Y162">
        <v>3058</v>
      </c>
      <c r="AA162">
        <v>3158</v>
      </c>
      <c r="AC162">
        <v>3258</v>
      </c>
      <c r="AE162">
        <v>3358</v>
      </c>
      <c r="AG162">
        <v>3458</v>
      </c>
      <c r="AI162">
        <v>3558</v>
      </c>
    </row>
    <row r="163" spans="1:35" x14ac:dyDescent="0.3">
      <c r="A163">
        <v>1859</v>
      </c>
      <c r="B163">
        <f t="shared" si="196"/>
        <v>28708.9</v>
      </c>
      <c r="C163">
        <v>1959</v>
      </c>
      <c r="D163">
        <f t="shared" si="197"/>
        <v>30629.200000000001</v>
      </c>
      <c r="E163">
        <v>2059</v>
      </c>
      <c r="F163">
        <f t="shared" si="198"/>
        <v>32476.400000000001</v>
      </c>
      <c r="G163">
        <v>2159</v>
      </c>
      <c r="H163">
        <f t="shared" si="206"/>
        <v>34322.699999999997</v>
      </c>
      <c r="I163">
        <v>2259</v>
      </c>
      <c r="J163">
        <f t="shared" si="199"/>
        <v>36134</v>
      </c>
      <c r="K163">
        <v>2359</v>
      </c>
      <c r="L163">
        <f t="shared" si="200"/>
        <v>37901.5</v>
      </c>
      <c r="M163">
        <v>2459</v>
      </c>
      <c r="N163">
        <f t="shared" si="201"/>
        <v>39618.1</v>
      </c>
      <c r="O163">
        <v>2559</v>
      </c>
      <c r="P163">
        <f t="shared" si="202"/>
        <v>41272.699999999997</v>
      </c>
      <c r="Q163">
        <v>2659</v>
      </c>
      <c r="S163">
        <v>2759</v>
      </c>
      <c r="T163">
        <f t="shared" si="203"/>
        <v>44353.4</v>
      </c>
      <c r="U163">
        <v>2859</v>
      </c>
      <c r="V163">
        <f t="shared" si="204"/>
        <v>45752.5</v>
      </c>
      <c r="W163">
        <v>2959</v>
      </c>
      <c r="X163">
        <f t="shared" si="205"/>
        <v>47038.8</v>
      </c>
      <c r="Y163">
        <v>3059</v>
      </c>
      <c r="AA163">
        <v>3159</v>
      </c>
      <c r="AC163">
        <v>3259</v>
      </c>
      <c r="AE163">
        <v>3359</v>
      </c>
      <c r="AG163">
        <v>3459</v>
      </c>
      <c r="AI163">
        <v>3559</v>
      </c>
    </row>
    <row r="164" spans="1:35" x14ac:dyDescent="0.3">
      <c r="A164">
        <v>1860</v>
      </c>
      <c r="B164">
        <v>28728</v>
      </c>
      <c r="C164">
        <v>1960</v>
      </c>
      <c r="D164">
        <v>30651</v>
      </c>
      <c r="E164">
        <v>2060</v>
      </c>
      <c r="F164">
        <v>32495</v>
      </c>
      <c r="G164">
        <v>2160</v>
      </c>
      <c r="H164">
        <v>34341</v>
      </c>
      <c r="I164">
        <v>2260</v>
      </c>
      <c r="J164">
        <v>36152</v>
      </c>
      <c r="K164">
        <v>2360</v>
      </c>
      <c r="L164">
        <v>37919</v>
      </c>
      <c r="M164">
        <v>2460</v>
      </c>
      <c r="N164">
        <v>39635</v>
      </c>
      <c r="O164">
        <v>2560</v>
      </c>
      <c r="P164">
        <v>41289</v>
      </c>
      <c r="Q164">
        <v>2660</v>
      </c>
      <c r="R164">
        <v>42870</v>
      </c>
      <c r="S164">
        <v>2760</v>
      </c>
      <c r="T164">
        <v>44368</v>
      </c>
      <c r="U164">
        <v>2860</v>
      </c>
      <c r="V164">
        <v>45766</v>
      </c>
      <c r="W164">
        <v>2960</v>
      </c>
      <c r="X164">
        <v>47048</v>
      </c>
      <c r="Y164">
        <v>3060</v>
      </c>
      <c r="Z164">
        <v>48190</v>
      </c>
      <c r="AA164">
        <v>3160</v>
      </c>
      <c r="AB164">
        <v>49158</v>
      </c>
      <c r="AC164">
        <v>3260</v>
      </c>
      <c r="AD164">
        <v>49896</v>
      </c>
      <c r="AE164">
        <v>3360</v>
      </c>
      <c r="AG164">
        <v>3460</v>
      </c>
      <c r="AI164">
        <v>3560</v>
      </c>
    </row>
    <row r="165" spans="1:35" x14ac:dyDescent="0.3">
      <c r="A165">
        <v>1861</v>
      </c>
      <c r="B165">
        <f>28728+((28918-28728)/10)*(A165-1860)</f>
        <v>28747</v>
      </c>
      <c r="C165">
        <v>1961</v>
      </c>
      <c r="D165">
        <f>30651+((30810-30651)/10)*(C165-1960)</f>
        <v>30666.9</v>
      </c>
      <c r="E165">
        <v>2061</v>
      </c>
      <c r="F165">
        <f>32495+((32681-32495)/10)*(E165-2060)</f>
        <v>32513.599999999999</v>
      </c>
      <c r="G165">
        <v>2161</v>
      </c>
      <c r="H165">
        <f>34341+((34524-34341)/10)*(G165-2160)</f>
        <v>34359.300000000003</v>
      </c>
      <c r="I165">
        <v>2261</v>
      </c>
      <c r="J165">
        <f>36152+((36330-36152)/10)*(I165-2260)</f>
        <v>36169.800000000003</v>
      </c>
      <c r="K165">
        <v>2361</v>
      </c>
      <c r="L165">
        <f>37919+((38093-37919)/10)*(K165-2360)</f>
        <v>37936.400000000001</v>
      </c>
      <c r="M165">
        <v>2461</v>
      </c>
      <c r="N165">
        <f>39635+((39803-39635)/10)*(M165-2460)</f>
        <v>39651.800000000003</v>
      </c>
      <c r="O165">
        <v>2561</v>
      </c>
      <c r="P165">
        <f>41289+((41450-41289)/10)*(O165-2560)</f>
        <v>41305.1</v>
      </c>
      <c r="Q165">
        <v>2661</v>
      </c>
      <c r="R165">
        <f>42870+((43024-42870)/10)*(Q165-2600)</f>
        <v>43809.4</v>
      </c>
      <c r="S165">
        <v>2761</v>
      </c>
      <c r="U165">
        <v>2861</v>
      </c>
      <c r="V165">
        <f>45766+((45900-45766)/10)*(U165-2860)</f>
        <v>45779.4</v>
      </c>
      <c r="W165">
        <v>2961</v>
      </c>
      <c r="Y165">
        <v>3061</v>
      </c>
      <c r="AA165">
        <v>3161</v>
      </c>
      <c r="AC165">
        <v>3261</v>
      </c>
      <c r="AE165">
        <v>3361</v>
      </c>
      <c r="AG165">
        <v>3461</v>
      </c>
      <c r="AI165">
        <v>3561</v>
      </c>
    </row>
    <row r="166" spans="1:35" x14ac:dyDescent="0.3">
      <c r="A166">
        <v>1862</v>
      </c>
      <c r="B166">
        <f t="shared" ref="B166:B173" si="207">28728+((28918-28728)/10)*(A166-1860)</f>
        <v>28766</v>
      </c>
      <c r="C166">
        <v>1962</v>
      </c>
      <c r="D166">
        <f t="shared" ref="D166:D173" si="208">30651+((30810-30651)/10)*(C166-1960)</f>
        <v>30682.799999999999</v>
      </c>
      <c r="E166">
        <v>2062</v>
      </c>
      <c r="F166">
        <f t="shared" ref="F166:F173" si="209">32495+((32681-32495)/10)*(E166-2060)</f>
        <v>32532.2</v>
      </c>
      <c r="G166">
        <v>2162</v>
      </c>
      <c r="H166">
        <f t="shared" ref="H166:H173" si="210">34341+((34524-34341)/10)*(G166-2160)</f>
        <v>34377.599999999999</v>
      </c>
      <c r="I166">
        <v>2262</v>
      </c>
      <c r="J166">
        <f t="shared" ref="J166:J173" si="211">36152+((36330-36152)/10)*(I166-2260)</f>
        <v>36187.599999999999</v>
      </c>
      <c r="K166">
        <v>2362</v>
      </c>
      <c r="L166">
        <f t="shared" ref="L166:L173" si="212">37919+((38093-37919)/10)*(K166-2360)</f>
        <v>37953.800000000003</v>
      </c>
      <c r="M166">
        <v>2462</v>
      </c>
      <c r="N166">
        <f t="shared" ref="N166:N173" si="213">39635+((39803-39635)/10)*(M166-2460)</f>
        <v>39668.6</v>
      </c>
      <c r="O166">
        <v>2562</v>
      </c>
      <c r="P166">
        <f t="shared" ref="P166:P173" si="214">41289+((41450-41289)/10)*(O166-2560)</f>
        <v>41321.199999999997</v>
      </c>
      <c r="Q166">
        <v>2662</v>
      </c>
      <c r="R166">
        <f t="shared" ref="R166:R173" si="215">42870+((43024-42870)/10)*(Q166-2600)</f>
        <v>43824.800000000003</v>
      </c>
      <c r="S166">
        <v>2762</v>
      </c>
      <c r="U166">
        <v>2862</v>
      </c>
      <c r="V166">
        <f t="shared" ref="V166:V173" si="216">45766+((45900-45766)/10)*(U166-2860)</f>
        <v>45792.800000000003</v>
      </c>
      <c r="W166">
        <v>2962</v>
      </c>
      <c r="Y166">
        <v>3062</v>
      </c>
      <c r="AA166">
        <v>3162</v>
      </c>
      <c r="AC166">
        <v>3262</v>
      </c>
      <c r="AE166">
        <v>3362</v>
      </c>
      <c r="AG166">
        <v>3462</v>
      </c>
      <c r="AI166">
        <v>3562</v>
      </c>
    </row>
    <row r="167" spans="1:35" x14ac:dyDescent="0.3">
      <c r="A167">
        <v>1863</v>
      </c>
      <c r="B167">
        <f t="shared" si="207"/>
        <v>28785</v>
      </c>
      <c r="C167">
        <v>1963</v>
      </c>
      <c r="D167">
        <f t="shared" si="208"/>
        <v>30698.7</v>
      </c>
      <c r="E167">
        <v>2063</v>
      </c>
      <c r="F167">
        <f t="shared" si="209"/>
        <v>32550.799999999999</v>
      </c>
      <c r="G167">
        <v>2163</v>
      </c>
      <c r="H167">
        <f t="shared" ref="H167" si="217">38612+((38784-38612)/10)*(G167-2400)</f>
        <v>34535.599999999999</v>
      </c>
      <c r="I167">
        <v>2263</v>
      </c>
      <c r="J167">
        <f t="shared" si="211"/>
        <v>36205.4</v>
      </c>
      <c r="K167">
        <v>2363</v>
      </c>
      <c r="L167">
        <f t="shared" si="212"/>
        <v>37971.199999999997</v>
      </c>
      <c r="M167">
        <v>2463</v>
      </c>
      <c r="N167">
        <f t="shared" si="213"/>
        <v>39685.4</v>
      </c>
      <c r="O167">
        <v>2563</v>
      </c>
      <c r="P167">
        <f t="shared" si="214"/>
        <v>41337.300000000003</v>
      </c>
      <c r="Q167">
        <v>2663</v>
      </c>
      <c r="R167">
        <f t="shared" si="215"/>
        <v>43840.2</v>
      </c>
      <c r="S167">
        <v>2763</v>
      </c>
      <c r="U167">
        <v>2863</v>
      </c>
      <c r="V167">
        <f t="shared" si="216"/>
        <v>45806.2</v>
      </c>
      <c r="W167">
        <v>2963</v>
      </c>
      <c r="Y167">
        <v>3063</v>
      </c>
      <c r="AA167">
        <v>3163</v>
      </c>
      <c r="AC167">
        <v>3263</v>
      </c>
      <c r="AE167">
        <v>3363</v>
      </c>
      <c r="AG167">
        <v>3463</v>
      </c>
      <c r="AI167">
        <v>3563</v>
      </c>
    </row>
    <row r="168" spans="1:35" x14ac:dyDescent="0.3">
      <c r="A168">
        <v>1864</v>
      </c>
      <c r="B168">
        <f t="shared" si="207"/>
        <v>28804</v>
      </c>
      <c r="C168">
        <v>1964</v>
      </c>
      <c r="D168">
        <f t="shared" si="208"/>
        <v>30714.6</v>
      </c>
      <c r="E168">
        <v>2064</v>
      </c>
      <c r="F168">
        <f t="shared" si="209"/>
        <v>32569.4</v>
      </c>
      <c r="G168">
        <v>2164</v>
      </c>
      <c r="H168">
        <f t="shared" si="210"/>
        <v>34414.199999999997</v>
      </c>
      <c r="I168">
        <v>2264</v>
      </c>
      <c r="J168">
        <f t="shared" si="211"/>
        <v>36223.199999999997</v>
      </c>
      <c r="K168">
        <v>2364</v>
      </c>
      <c r="L168">
        <f t="shared" si="212"/>
        <v>37988.6</v>
      </c>
      <c r="M168">
        <v>2464</v>
      </c>
      <c r="N168">
        <f t="shared" si="213"/>
        <v>39702.199999999997</v>
      </c>
      <c r="O168">
        <v>2564</v>
      </c>
      <c r="P168">
        <f t="shared" si="214"/>
        <v>41353.4</v>
      </c>
      <c r="Q168">
        <v>2664</v>
      </c>
      <c r="R168">
        <f t="shared" si="215"/>
        <v>43855.6</v>
      </c>
      <c r="S168">
        <v>2764</v>
      </c>
      <c r="U168">
        <v>2864</v>
      </c>
      <c r="V168">
        <f t="shared" si="216"/>
        <v>45819.6</v>
      </c>
      <c r="W168">
        <v>2964</v>
      </c>
      <c r="Y168">
        <v>3064</v>
      </c>
      <c r="AA168">
        <v>3164</v>
      </c>
      <c r="AC168">
        <v>3264</v>
      </c>
      <c r="AE168">
        <v>3364</v>
      </c>
      <c r="AG168">
        <v>3464</v>
      </c>
      <c r="AI168">
        <v>3564</v>
      </c>
    </row>
    <row r="169" spans="1:35" x14ac:dyDescent="0.3">
      <c r="A169">
        <v>1865</v>
      </c>
      <c r="B169">
        <f t="shared" si="207"/>
        <v>28823</v>
      </c>
      <c r="C169">
        <v>1965</v>
      </c>
      <c r="D169">
        <f t="shared" si="208"/>
        <v>30730.5</v>
      </c>
      <c r="E169">
        <v>2065</v>
      </c>
      <c r="F169">
        <f t="shared" si="209"/>
        <v>32588</v>
      </c>
      <c r="G169">
        <v>2165</v>
      </c>
      <c r="H169">
        <f t="shared" si="210"/>
        <v>34432.5</v>
      </c>
      <c r="I169">
        <v>2265</v>
      </c>
      <c r="J169">
        <f t="shared" si="211"/>
        <v>36241</v>
      </c>
      <c r="K169">
        <v>2365</v>
      </c>
      <c r="L169">
        <f t="shared" si="212"/>
        <v>38006</v>
      </c>
      <c r="M169">
        <v>2465</v>
      </c>
      <c r="N169">
        <f t="shared" si="213"/>
        <v>39719</v>
      </c>
      <c r="O169">
        <v>2565</v>
      </c>
      <c r="P169">
        <f t="shared" si="214"/>
        <v>41369.5</v>
      </c>
      <c r="Q169">
        <v>2665</v>
      </c>
      <c r="R169">
        <f t="shared" si="215"/>
        <v>43871</v>
      </c>
      <c r="S169">
        <v>2765</v>
      </c>
      <c r="U169">
        <v>2865</v>
      </c>
      <c r="V169">
        <f t="shared" si="216"/>
        <v>45833</v>
      </c>
      <c r="W169">
        <v>2965</v>
      </c>
      <c r="Y169">
        <v>3065</v>
      </c>
      <c r="AA169">
        <v>3165</v>
      </c>
      <c r="AC169">
        <v>3265</v>
      </c>
      <c r="AE169">
        <v>3365</v>
      </c>
      <c r="AG169">
        <v>3465</v>
      </c>
      <c r="AI169">
        <v>3565</v>
      </c>
    </row>
    <row r="170" spans="1:35" x14ac:dyDescent="0.3">
      <c r="A170">
        <v>1866</v>
      </c>
      <c r="B170">
        <f t="shared" si="207"/>
        <v>28842</v>
      </c>
      <c r="C170">
        <v>1966</v>
      </c>
      <c r="D170">
        <f t="shared" si="208"/>
        <v>30746.400000000001</v>
      </c>
      <c r="E170">
        <v>2066</v>
      </c>
      <c r="F170">
        <f t="shared" si="209"/>
        <v>32606.6</v>
      </c>
      <c r="G170">
        <v>2166</v>
      </c>
      <c r="H170">
        <f t="shared" si="210"/>
        <v>34450.800000000003</v>
      </c>
      <c r="I170">
        <v>2266</v>
      </c>
      <c r="J170">
        <f t="shared" si="211"/>
        <v>36258.800000000003</v>
      </c>
      <c r="K170">
        <v>2366</v>
      </c>
      <c r="L170">
        <f t="shared" si="212"/>
        <v>38023.4</v>
      </c>
      <c r="M170">
        <v>2466</v>
      </c>
      <c r="N170">
        <f t="shared" si="213"/>
        <v>39735.800000000003</v>
      </c>
      <c r="O170">
        <v>2566</v>
      </c>
      <c r="P170">
        <f t="shared" si="214"/>
        <v>41385.599999999999</v>
      </c>
      <c r="Q170">
        <v>2666</v>
      </c>
      <c r="R170">
        <f t="shared" si="215"/>
        <v>43886.400000000001</v>
      </c>
      <c r="S170">
        <v>2766</v>
      </c>
      <c r="U170">
        <v>2866</v>
      </c>
      <c r="V170">
        <f t="shared" si="216"/>
        <v>45846.400000000001</v>
      </c>
      <c r="W170">
        <v>2966</v>
      </c>
      <c r="Y170">
        <v>3066</v>
      </c>
      <c r="AA170">
        <v>3166</v>
      </c>
      <c r="AC170">
        <v>3266</v>
      </c>
      <c r="AE170">
        <v>3366</v>
      </c>
      <c r="AG170">
        <v>3466</v>
      </c>
      <c r="AI170">
        <v>3566</v>
      </c>
    </row>
    <row r="171" spans="1:35" x14ac:dyDescent="0.3">
      <c r="A171">
        <v>1867</v>
      </c>
      <c r="B171">
        <f t="shared" si="207"/>
        <v>28861</v>
      </c>
      <c r="C171">
        <v>1967</v>
      </c>
      <c r="D171">
        <f t="shared" si="208"/>
        <v>30762.3</v>
      </c>
      <c r="E171">
        <v>2067</v>
      </c>
      <c r="F171">
        <f t="shared" si="209"/>
        <v>32625.200000000001</v>
      </c>
      <c r="G171">
        <v>2167</v>
      </c>
      <c r="H171">
        <f t="shared" si="210"/>
        <v>34469.1</v>
      </c>
      <c r="I171">
        <v>2267</v>
      </c>
      <c r="J171">
        <f t="shared" si="211"/>
        <v>36276.6</v>
      </c>
      <c r="K171">
        <v>2367</v>
      </c>
      <c r="L171">
        <f t="shared" si="212"/>
        <v>38040.800000000003</v>
      </c>
      <c r="M171">
        <v>2467</v>
      </c>
      <c r="N171">
        <f t="shared" si="213"/>
        <v>39752.6</v>
      </c>
      <c r="O171">
        <v>2567</v>
      </c>
      <c r="P171">
        <f t="shared" si="214"/>
        <v>41401.699999999997</v>
      </c>
      <c r="Q171">
        <v>2667</v>
      </c>
      <c r="R171">
        <f t="shared" si="215"/>
        <v>43901.8</v>
      </c>
      <c r="S171">
        <v>2767</v>
      </c>
      <c r="U171">
        <v>2867</v>
      </c>
      <c r="V171">
        <f t="shared" si="216"/>
        <v>45859.8</v>
      </c>
      <c r="W171">
        <v>2967</v>
      </c>
      <c r="Y171">
        <v>3067</v>
      </c>
      <c r="AA171">
        <v>3167</v>
      </c>
      <c r="AC171">
        <v>3267</v>
      </c>
      <c r="AE171">
        <v>3367</v>
      </c>
      <c r="AG171">
        <v>3467</v>
      </c>
      <c r="AI171">
        <v>3567</v>
      </c>
    </row>
    <row r="172" spans="1:35" x14ac:dyDescent="0.3">
      <c r="A172">
        <v>1868</v>
      </c>
      <c r="B172">
        <f t="shared" si="207"/>
        <v>28880</v>
      </c>
      <c r="C172">
        <v>1968</v>
      </c>
      <c r="D172">
        <f t="shared" si="208"/>
        <v>30778.2</v>
      </c>
      <c r="E172">
        <v>2068</v>
      </c>
      <c r="F172">
        <f t="shared" si="209"/>
        <v>32643.8</v>
      </c>
      <c r="G172">
        <v>2168</v>
      </c>
      <c r="H172">
        <f t="shared" si="210"/>
        <v>34487.4</v>
      </c>
      <c r="I172">
        <v>2268</v>
      </c>
      <c r="J172">
        <f t="shared" si="211"/>
        <v>36294.400000000001</v>
      </c>
      <c r="K172">
        <v>2368</v>
      </c>
      <c r="L172">
        <f t="shared" si="212"/>
        <v>38058.199999999997</v>
      </c>
      <c r="M172">
        <v>2468</v>
      </c>
      <c r="N172">
        <f t="shared" si="213"/>
        <v>39769.4</v>
      </c>
      <c r="O172">
        <v>2568</v>
      </c>
      <c r="P172">
        <f t="shared" si="214"/>
        <v>41417.800000000003</v>
      </c>
      <c r="Q172">
        <v>2668</v>
      </c>
      <c r="R172">
        <f t="shared" si="215"/>
        <v>43917.2</v>
      </c>
      <c r="S172">
        <v>2768</v>
      </c>
      <c r="U172">
        <v>2868</v>
      </c>
      <c r="V172">
        <f t="shared" si="216"/>
        <v>45873.2</v>
      </c>
      <c r="W172">
        <v>2968</v>
      </c>
      <c r="Y172">
        <v>3068</v>
      </c>
      <c r="AA172">
        <v>3168</v>
      </c>
      <c r="AC172">
        <v>3268</v>
      </c>
      <c r="AE172">
        <v>3368</v>
      </c>
      <c r="AG172">
        <v>3468</v>
      </c>
      <c r="AI172">
        <v>3568</v>
      </c>
    </row>
    <row r="173" spans="1:35" x14ac:dyDescent="0.3">
      <c r="A173">
        <v>1869</v>
      </c>
      <c r="B173">
        <f t="shared" si="207"/>
        <v>28899</v>
      </c>
      <c r="C173">
        <v>1969</v>
      </c>
      <c r="D173">
        <f t="shared" si="208"/>
        <v>30794.1</v>
      </c>
      <c r="E173">
        <v>2069</v>
      </c>
      <c r="F173">
        <f t="shared" si="209"/>
        <v>32662.400000000001</v>
      </c>
      <c r="G173">
        <v>2169</v>
      </c>
      <c r="H173">
        <f t="shared" si="210"/>
        <v>34505.699999999997</v>
      </c>
      <c r="I173">
        <v>2269</v>
      </c>
      <c r="J173">
        <f t="shared" si="211"/>
        <v>36312.199999999997</v>
      </c>
      <c r="K173">
        <v>2369</v>
      </c>
      <c r="L173">
        <f t="shared" si="212"/>
        <v>38075.599999999999</v>
      </c>
      <c r="M173">
        <v>2469</v>
      </c>
      <c r="N173">
        <f t="shared" si="213"/>
        <v>39786.199999999997</v>
      </c>
      <c r="O173">
        <v>2569</v>
      </c>
      <c r="P173">
        <f t="shared" si="214"/>
        <v>41433.9</v>
      </c>
      <c r="Q173">
        <v>2669</v>
      </c>
      <c r="R173">
        <f t="shared" si="215"/>
        <v>43932.6</v>
      </c>
      <c r="S173">
        <v>2769</v>
      </c>
      <c r="U173">
        <v>2869</v>
      </c>
      <c r="V173">
        <f t="shared" si="216"/>
        <v>45886.6</v>
      </c>
      <c r="W173">
        <v>2969</v>
      </c>
      <c r="Y173">
        <v>3069</v>
      </c>
      <c r="AA173">
        <v>3169</v>
      </c>
      <c r="AC173">
        <v>3269</v>
      </c>
      <c r="AE173">
        <v>3369</v>
      </c>
      <c r="AG173">
        <v>3469</v>
      </c>
      <c r="AI173">
        <v>3569</v>
      </c>
    </row>
    <row r="174" spans="1:35" x14ac:dyDescent="0.3">
      <c r="A174">
        <v>1870</v>
      </c>
      <c r="B174">
        <v>28918</v>
      </c>
      <c r="C174">
        <v>1970</v>
      </c>
      <c r="D174">
        <v>30810</v>
      </c>
      <c r="E174">
        <v>2070</v>
      </c>
      <c r="F174">
        <v>32681</v>
      </c>
      <c r="G174">
        <v>2170</v>
      </c>
      <c r="H174">
        <v>34524</v>
      </c>
      <c r="I174">
        <v>2270</v>
      </c>
      <c r="J174">
        <v>36330</v>
      </c>
      <c r="K174">
        <v>2370</v>
      </c>
      <c r="L174">
        <v>38093</v>
      </c>
      <c r="M174">
        <v>2470</v>
      </c>
      <c r="N174">
        <v>39803</v>
      </c>
      <c r="O174">
        <v>2570</v>
      </c>
      <c r="P174">
        <v>41450</v>
      </c>
      <c r="Q174">
        <v>2670</v>
      </c>
      <c r="R174">
        <v>43024</v>
      </c>
      <c r="S174">
        <v>2770</v>
      </c>
      <c r="T174">
        <v>44512</v>
      </c>
      <c r="U174">
        <v>2870</v>
      </c>
      <c r="V174">
        <v>45900</v>
      </c>
      <c r="W174">
        <v>2970</v>
      </c>
      <c r="X174">
        <v>47169</v>
      </c>
      <c r="Y174">
        <v>3070</v>
      </c>
      <c r="Z174">
        <v>48295</v>
      </c>
      <c r="AA174">
        <v>3170</v>
      </c>
      <c r="AB174">
        <v>49244</v>
      </c>
      <c r="AC174">
        <v>3270</v>
      </c>
      <c r="AD174">
        <v>49953</v>
      </c>
      <c r="AE174">
        <v>3370</v>
      </c>
      <c r="AG174">
        <v>3470</v>
      </c>
      <c r="AI174">
        <v>3570</v>
      </c>
    </row>
    <row r="175" spans="1:35" x14ac:dyDescent="0.3">
      <c r="A175">
        <v>1871</v>
      </c>
      <c r="B175">
        <f>28918+((29108-28918)/10)*(A175-1870)</f>
        <v>28937</v>
      </c>
      <c r="C175">
        <v>1971</v>
      </c>
      <c r="D175">
        <f>30810+((30999-30810)/10)*(C175-1970)</f>
        <v>30828.9</v>
      </c>
      <c r="E175">
        <v>2071</v>
      </c>
      <c r="F175">
        <f>32681+((32866-32681)/10)*(E175-2070)</f>
        <v>32699.5</v>
      </c>
      <c r="G175">
        <v>2171</v>
      </c>
      <c r="H175">
        <f>34524+((34706-34524)/10)*(G175-2170)</f>
        <v>34542.199999999997</v>
      </c>
      <c r="I175">
        <v>2271</v>
      </c>
      <c r="J175">
        <f>36330+((36509-36330)/10)*(I175-2270)</f>
        <v>36347.9</v>
      </c>
      <c r="K175">
        <v>2371</v>
      </c>
      <c r="L175">
        <f>38093+((38267-38093)/10)*(K175-2370)</f>
        <v>38110.400000000001</v>
      </c>
      <c r="M175">
        <v>2471</v>
      </c>
      <c r="N175">
        <f>39803+((39971-39803)/10)*(M175-2470)</f>
        <v>39819.800000000003</v>
      </c>
      <c r="O175">
        <v>2571</v>
      </c>
      <c r="P175">
        <f>41450+((41611-41450)/10)*(O175-2570)</f>
        <v>41466.1</v>
      </c>
      <c r="Q175">
        <v>2671</v>
      </c>
      <c r="R175">
        <f>43024+((43177-43024)/10)*(Q175-2670)</f>
        <v>43039.3</v>
      </c>
      <c r="S175">
        <v>2771</v>
      </c>
      <c r="T175">
        <f>44512+((44656-44512)/10)*(S175-2770)</f>
        <v>44526.400000000001</v>
      </c>
      <c r="U175">
        <v>2871</v>
      </c>
      <c r="V175">
        <f>45900+((46033-45900)/10)*(U175-2870)</f>
        <v>45913.3</v>
      </c>
      <c r="W175">
        <v>2971</v>
      </c>
      <c r="X175">
        <f>47169+((47288-47169)/10)*(W175-2970)</f>
        <v>47180.9</v>
      </c>
      <c r="Y175">
        <v>3071</v>
      </c>
      <c r="AA175">
        <v>3171</v>
      </c>
      <c r="AC175">
        <v>3271</v>
      </c>
      <c r="AE175">
        <v>3371</v>
      </c>
      <c r="AG175">
        <v>3471</v>
      </c>
      <c r="AI175">
        <v>3571</v>
      </c>
    </row>
    <row r="176" spans="1:35" x14ac:dyDescent="0.3">
      <c r="A176">
        <v>1872</v>
      </c>
      <c r="B176">
        <f t="shared" ref="B176:B183" si="218">28918+((29108-28918)/10)*(A176-1870)</f>
        <v>28956</v>
      </c>
      <c r="C176">
        <v>1972</v>
      </c>
      <c r="D176">
        <f t="shared" ref="D176:D183" si="219">30810+((30999-30810)/10)*(C176-1970)</f>
        <v>30847.8</v>
      </c>
      <c r="E176">
        <v>2072</v>
      </c>
      <c r="F176">
        <f t="shared" ref="F176:F183" si="220">32681+((32866-32681)/10)*(E176-2070)</f>
        <v>32718</v>
      </c>
      <c r="G176">
        <v>2172</v>
      </c>
      <c r="H176">
        <f t="shared" ref="H176:H183" si="221">34524+((34706-34524)/10)*(G176-2170)</f>
        <v>34560.400000000001</v>
      </c>
      <c r="I176">
        <v>2272</v>
      </c>
      <c r="J176">
        <f t="shared" ref="J176:J183" si="222">36330+((36509-36330)/10)*(I176-2270)</f>
        <v>36365.800000000003</v>
      </c>
      <c r="K176">
        <v>2372</v>
      </c>
      <c r="L176">
        <f t="shared" ref="L176:L183" si="223">38093+((38267-38093)/10)*(K176-2370)</f>
        <v>38127.800000000003</v>
      </c>
      <c r="M176">
        <v>2472</v>
      </c>
      <c r="N176">
        <f t="shared" ref="N176:N183" si="224">39803+((39971-39803)/10)*(M176-2470)</f>
        <v>39836.6</v>
      </c>
      <c r="O176">
        <v>2572</v>
      </c>
      <c r="P176">
        <f t="shared" ref="P176:P183" si="225">41450+((41611-41450)/10)*(O176-2570)</f>
        <v>41482.199999999997</v>
      </c>
      <c r="Q176">
        <v>2672</v>
      </c>
      <c r="R176">
        <f t="shared" ref="R176:R183" si="226">43024+((43177-43024)/10)*(Q176-2670)</f>
        <v>43054.6</v>
      </c>
      <c r="S176">
        <v>2772</v>
      </c>
      <c r="T176">
        <f t="shared" ref="T176:T183" si="227">44512+((44656-44512)/10)*(S176-2770)</f>
        <v>44540.800000000003</v>
      </c>
      <c r="U176">
        <v>2872</v>
      </c>
      <c r="V176">
        <f t="shared" ref="V176:V183" si="228">45900+((46033-45900)/10)*(U176-2870)</f>
        <v>45926.6</v>
      </c>
      <c r="W176">
        <v>2972</v>
      </c>
      <c r="X176">
        <f t="shared" ref="X176:X183" si="229">47169+((47288-47169)/10)*(W176-2970)</f>
        <v>47192.800000000003</v>
      </c>
      <c r="Y176">
        <v>3072</v>
      </c>
      <c r="AA176">
        <v>3172</v>
      </c>
      <c r="AC176">
        <v>3272</v>
      </c>
      <c r="AE176">
        <v>3372</v>
      </c>
      <c r="AG176">
        <v>3472</v>
      </c>
      <c r="AI176">
        <v>3572</v>
      </c>
    </row>
    <row r="177" spans="1:35" x14ac:dyDescent="0.3">
      <c r="A177">
        <v>1873</v>
      </c>
      <c r="B177">
        <f t="shared" si="218"/>
        <v>28975</v>
      </c>
      <c r="C177">
        <v>1973</v>
      </c>
      <c r="D177">
        <f t="shared" si="219"/>
        <v>30866.7</v>
      </c>
      <c r="E177">
        <v>2073</v>
      </c>
      <c r="F177">
        <f t="shared" si="220"/>
        <v>32736.5</v>
      </c>
      <c r="G177">
        <v>2173</v>
      </c>
      <c r="H177">
        <f t="shared" si="221"/>
        <v>34578.6</v>
      </c>
      <c r="I177">
        <v>2273</v>
      </c>
      <c r="J177">
        <f t="shared" si="222"/>
        <v>36383.699999999997</v>
      </c>
      <c r="K177">
        <v>2373</v>
      </c>
      <c r="L177">
        <f t="shared" si="223"/>
        <v>38145.199999999997</v>
      </c>
      <c r="M177">
        <v>2473</v>
      </c>
      <c r="N177">
        <f t="shared" si="224"/>
        <v>39853.4</v>
      </c>
      <c r="O177">
        <v>2573</v>
      </c>
      <c r="P177">
        <f t="shared" si="225"/>
        <v>41498.300000000003</v>
      </c>
      <c r="Q177">
        <v>2673</v>
      </c>
      <c r="R177">
        <f t="shared" si="226"/>
        <v>43069.9</v>
      </c>
      <c r="S177">
        <v>2773</v>
      </c>
      <c r="T177">
        <f t="shared" si="227"/>
        <v>44555.199999999997</v>
      </c>
      <c r="U177">
        <v>2873</v>
      </c>
      <c r="V177">
        <f t="shared" si="228"/>
        <v>45939.9</v>
      </c>
      <c r="W177">
        <v>2973</v>
      </c>
      <c r="X177">
        <f t="shared" si="229"/>
        <v>47204.7</v>
      </c>
      <c r="Y177">
        <v>3073</v>
      </c>
      <c r="AA177">
        <v>3173</v>
      </c>
      <c r="AC177">
        <v>3273</v>
      </c>
      <c r="AE177">
        <v>3373</v>
      </c>
      <c r="AG177">
        <v>3473</v>
      </c>
      <c r="AI177">
        <v>3573</v>
      </c>
    </row>
    <row r="178" spans="1:35" x14ac:dyDescent="0.3">
      <c r="A178">
        <v>1874</v>
      </c>
      <c r="B178">
        <f t="shared" si="218"/>
        <v>28994</v>
      </c>
      <c r="C178">
        <v>1974</v>
      </c>
      <c r="D178">
        <f t="shared" si="219"/>
        <v>30885.599999999999</v>
      </c>
      <c r="E178">
        <v>2074</v>
      </c>
      <c r="F178">
        <f t="shared" si="220"/>
        <v>32755</v>
      </c>
      <c r="G178">
        <v>2174</v>
      </c>
      <c r="H178">
        <f t="shared" si="221"/>
        <v>34596.800000000003</v>
      </c>
      <c r="I178">
        <v>2274</v>
      </c>
      <c r="J178">
        <f t="shared" si="222"/>
        <v>36401.599999999999</v>
      </c>
      <c r="K178">
        <v>2374</v>
      </c>
      <c r="L178">
        <f t="shared" si="223"/>
        <v>38162.6</v>
      </c>
      <c r="M178">
        <v>2474</v>
      </c>
      <c r="N178">
        <f t="shared" si="224"/>
        <v>39870.199999999997</v>
      </c>
      <c r="O178">
        <v>2574</v>
      </c>
      <c r="P178">
        <f t="shared" si="225"/>
        <v>41514.400000000001</v>
      </c>
      <c r="Q178">
        <v>2674</v>
      </c>
      <c r="R178">
        <f t="shared" si="226"/>
        <v>43085.2</v>
      </c>
      <c r="S178">
        <v>2774</v>
      </c>
      <c r="T178">
        <f t="shared" si="227"/>
        <v>44569.599999999999</v>
      </c>
      <c r="U178">
        <v>2874</v>
      </c>
      <c r="V178">
        <f t="shared" si="228"/>
        <v>45953.2</v>
      </c>
      <c r="W178">
        <v>2974</v>
      </c>
      <c r="X178">
        <f t="shared" si="229"/>
        <v>47216.6</v>
      </c>
      <c r="Y178">
        <v>3074</v>
      </c>
      <c r="AA178">
        <v>3174</v>
      </c>
      <c r="AC178">
        <v>3274</v>
      </c>
      <c r="AE178">
        <v>3374</v>
      </c>
      <c r="AG178">
        <v>3474</v>
      </c>
      <c r="AI178">
        <v>3574</v>
      </c>
    </row>
    <row r="179" spans="1:35" x14ac:dyDescent="0.3">
      <c r="A179">
        <v>1875</v>
      </c>
      <c r="B179">
        <f t="shared" si="218"/>
        <v>29013</v>
      </c>
      <c r="C179">
        <v>1975</v>
      </c>
      <c r="D179">
        <f t="shared" si="219"/>
        <v>30904.5</v>
      </c>
      <c r="E179">
        <v>2075</v>
      </c>
      <c r="F179">
        <f t="shared" si="220"/>
        <v>32773.5</v>
      </c>
      <c r="G179">
        <v>2175</v>
      </c>
      <c r="H179">
        <f t="shared" si="221"/>
        <v>34615</v>
      </c>
      <c r="I179">
        <v>2275</v>
      </c>
      <c r="J179">
        <f t="shared" si="222"/>
        <v>36419.5</v>
      </c>
      <c r="K179">
        <v>2375</v>
      </c>
      <c r="L179">
        <f t="shared" si="223"/>
        <v>38180</v>
      </c>
      <c r="M179">
        <v>2475</v>
      </c>
      <c r="N179">
        <f t="shared" si="224"/>
        <v>39887</v>
      </c>
      <c r="O179">
        <v>2575</v>
      </c>
      <c r="P179">
        <f t="shared" si="225"/>
        <v>41530.5</v>
      </c>
      <c r="Q179">
        <v>2675</v>
      </c>
      <c r="R179">
        <f t="shared" si="226"/>
        <v>43100.5</v>
      </c>
      <c r="S179">
        <v>2775</v>
      </c>
      <c r="T179">
        <f t="shared" si="227"/>
        <v>44584</v>
      </c>
      <c r="U179">
        <v>2875</v>
      </c>
      <c r="V179">
        <f t="shared" si="228"/>
        <v>45966.5</v>
      </c>
      <c r="W179">
        <v>2975</v>
      </c>
      <c r="X179">
        <f t="shared" si="229"/>
        <v>47228.5</v>
      </c>
      <c r="Y179">
        <v>3075</v>
      </c>
      <c r="AA179">
        <v>3175</v>
      </c>
      <c r="AC179">
        <v>3275</v>
      </c>
      <c r="AE179">
        <v>3375</v>
      </c>
      <c r="AG179">
        <v>3475</v>
      </c>
      <c r="AI179">
        <v>3575</v>
      </c>
    </row>
    <row r="180" spans="1:35" x14ac:dyDescent="0.3">
      <c r="A180">
        <v>1876</v>
      </c>
      <c r="B180">
        <f t="shared" si="218"/>
        <v>29032</v>
      </c>
      <c r="C180">
        <v>1976</v>
      </c>
      <c r="D180">
        <f t="shared" si="219"/>
        <v>30923.4</v>
      </c>
      <c r="E180">
        <v>2076</v>
      </c>
      <c r="F180">
        <f t="shared" si="220"/>
        <v>32792</v>
      </c>
      <c r="G180">
        <v>2176</v>
      </c>
      <c r="H180">
        <f t="shared" si="221"/>
        <v>34633.199999999997</v>
      </c>
      <c r="I180">
        <v>2276</v>
      </c>
      <c r="J180">
        <f t="shared" si="222"/>
        <v>36437.4</v>
      </c>
      <c r="K180">
        <v>2376</v>
      </c>
      <c r="L180">
        <f t="shared" si="223"/>
        <v>38197.4</v>
      </c>
      <c r="M180">
        <v>2476</v>
      </c>
      <c r="N180">
        <f t="shared" si="224"/>
        <v>39903.800000000003</v>
      </c>
      <c r="O180">
        <v>2576</v>
      </c>
      <c r="P180">
        <f t="shared" si="225"/>
        <v>41546.6</v>
      </c>
      <c r="Q180">
        <v>2676</v>
      </c>
      <c r="R180">
        <f t="shared" si="226"/>
        <v>43115.8</v>
      </c>
      <c r="S180">
        <v>2776</v>
      </c>
      <c r="T180">
        <f t="shared" si="227"/>
        <v>44598.400000000001</v>
      </c>
      <c r="U180">
        <v>2876</v>
      </c>
      <c r="V180">
        <f t="shared" si="228"/>
        <v>45979.8</v>
      </c>
      <c r="W180">
        <v>2976</v>
      </c>
      <c r="X180">
        <f t="shared" si="229"/>
        <v>47240.4</v>
      </c>
      <c r="Y180">
        <v>3076</v>
      </c>
      <c r="AA180">
        <v>3176</v>
      </c>
      <c r="AC180">
        <v>3276</v>
      </c>
      <c r="AE180">
        <v>3376</v>
      </c>
      <c r="AG180">
        <v>3476</v>
      </c>
      <c r="AI180">
        <v>3576</v>
      </c>
    </row>
    <row r="181" spans="1:35" x14ac:dyDescent="0.3">
      <c r="A181">
        <v>1877</v>
      </c>
      <c r="B181">
        <f t="shared" si="218"/>
        <v>29051</v>
      </c>
      <c r="C181">
        <v>1977</v>
      </c>
      <c r="D181">
        <f t="shared" si="219"/>
        <v>30942.3</v>
      </c>
      <c r="E181">
        <v>2077</v>
      </c>
      <c r="F181">
        <f t="shared" si="220"/>
        <v>32810.5</v>
      </c>
      <c r="G181">
        <v>2177</v>
      </c>
      <c r="H181">
        <f t="shared" si="221"/>
        <v>34651.4</v>
      </c>
      <c r="I181">
        <v>2277</v>
      </c>
      <c r="J181">
        <f t="shared" si="222"/>
        <v>36455.300000000003</v>
      </c>
      <c r="K181">
        <v>2377</v>
      </c>
      <c r="L181">
        <f t="shared" si="223"/>
        <v>38214.800000000003</v>
      </c>
      <c r="M181">
        <v>2477</v>
      </c>
      <c r="N181">
        <f t="shared" si="224"/>
        <v>39920.6</v>
      </c>
      <c r="O181">
        <v>2577</v>
      </c>
      <c r="P181">
        <f t="shared" si="225"/>
        <v>41562.699999999997</v>
      </c>
      <c r="Q181">
        <v>2677</v>
      </c>
      <c r="R181">
        <f t="shared" si="226"/>
        <v>43131.1</v>
      </c>
      <c r="S181">
        <v>2777</v>
      </c>
      <c r="T181">
        <f t="shared" si="227"/>
        <v>44612.800000000003</v>
      </c>
      <c r="U181">
        <v>2877</v>
      </c>
      <c r="V181">
        <f t="shared" si="228"/>
        <v>45993.1</v>
      </c>
      <c r="W181">
        <v>2977</v>
      </c>
      <c r="X181">
        <f t="shared" si="229"/>
        <v>47252.3</v>
      </c>
      <c r="Y181">
        <v>3077</v>
      </c>
      <c r="AA181">
        <v>3177</v>
      </c>
      <c r="AC181">
        <v>3277</v>
      </c>
      <c r="AE181">
        <v>3377</v>
      </c>
      <c r="AG181">
        <v>3477</v>
      </c>
      <c r="AI181">
        <v>3577</v>
      </c>
    </row>
    <row r="182" spans="1:35" x14ac:dyDescent="0.3">
      <c r="A182">
        <v>1878</v>
      </c>
      <c r="B182">
        <f t="shared" si="218"/>
        <v>29070</v>
      </c>
      <c r="C182">
        <v>1978</v>
      </c>
      <c r="D182">
        <f t="shared" si="219"/>
        <v>30961.200000000001</v>
      </c>
      <c r="E182">
        <v>2078</v>
      </c>
      <c r="F182">
        <f t="shared" si="220"/>
        <v>32829</v>
      </c>
      <c r="G182">
        <v>2178</v>
      </c>
      <c r="H182">
        <f t="shared" si="221"/>
        <v>34669.599999999999</v>
      </c>
      <c r="I182">
        <v>2278</v>
      </c>
      <c r="J182">
        <f t="shared" si="222"/>
        <v>36473.199999999997</v>
      </c>
      <c r="K182">
        <v>2378</v>
      </c>
      <c r="L182">
        <f t="shared" si="223"/>
        <v>38232.199999999997</v>
      </c>
      <c r="M182">
        <v>2478</v>
      </c>
      <c r="N182">
        <f t="shared" si="224"/>
        <v>39937.4</v>
      </c>
      <c r="O182">
        <v>2578</v>
      </c>
      <c r="P182">
        <f t="shared" si="225"/>
        <v>41578.800000000003</v>
      </c>
      <c r="Q182">
        <v>2678</v>
      </c>
      <c r="R182">
        <f t="shared" si="226"/>
        <v>43146.400000000001</v>
      </c>
      <c r="S182">
        <v>2778</v>
      </c>
      <c r="T182">
        <f t="shared" si="227"/>
        <v>44627.199999999997</v>
      </c>
      <c r="U182">
        <v>2878</v>
      </c>
      <c r="V182">
        <f t="shared" si="228"/>
        <v>46006.400000000001</v>
      </c>
      <c r="W182">
        <v>2978</v>
      </c>
      <c r="X182">
        <f t="shared" si="229"/>
        <v>47264.2</v>
      </c>
      <c r="Y182">
        <v>3078</v>
      </c>
      <c r="AA182">
        <v>3178</v>
      </c>
      <c r="AC182">
        <v>3278</v>
      </c>
      <c r="AE182">
        <v>3378</v>
      </c>
      <c r="AG182">
        <v>3478</v>
      </c>
      <c r="AI182">
        <v>3578</v>
      </c>
    </row>
    <row r="183" spans="1:35" x14ac:dyDescent="0.3">
      <c r="A183">
        <v>1879</v>
      </c>
      <c r="B183">
        <f t="shared" si="218"/>
        <v>29089</v>
      </c>
      <c r="C183">
        <v>1979</v>
      </c>
      <c r="D183">
        <f t="shared" si="219"/>
        <v>30980.1</v>
      </c>
      <c r="E183">
        <v>2079</v>
      </c>
      <c r="F183">
        <f t="shared" si="220"/>
        <v>32847.5</v>
      </c>
      <c r="G183">
        <v>2179</v>
      </c>
      <c r="H183">
        <f t="shared" si="221"/>
        <v>34687.800000000003</v>
      </c>
      <c r="I183">
        <v>2279</v>
      </c>
      <c r="J183">
        <f t="shared" si="222"/>
        <v>36491.1</v>
      </c>
      <c r="K183">
        <v>2379</v>
      </c>
      <c r="L183">
        <f t="shared" si="223"/>
        <v>38249.599999999999</v>
      </c>
      <c r="M183">
        <v>2479</v>
      </c>
      <c r="N183">
        <f t="shared" si="224"/>
        <v>39954.199999999997</v>
      </c>
      <c r="O183">
        <v>2579</v>
      </c>
      <c r="P183">
        <f t="shared" si="225"/>
        <v>41594.9</v>
      </c>
      <c r="Q183">
        <v>2679</v>
      </c>
      <c r="R183">
        <f t="shared" si="226"/>
        <v>43161.7</v>
      </c>
      <c r="S183">
        <v>2779</v>
      </c>
      <c r="T183">
        <f t="shared" si="227"/>
        <v>44641.599999999999</v>
      </c>
      <c r="U183">
        <v>2879</v>
      </c>
      <c r="V183">
        <f t="shared" si="228"/>
        <v>46019.7</v>
      </c>
      <c r="W183">
        <v>2979</v>
      </c>
      <c r="X183">
        <f t="shared" si="229"/>
        <v>47276.1</v>
      </c>
      <c r="Y183">
        <v>3079</v>
      </c>
      <c r="AA183">
        <v>3179</v>
      </c>
      <c r="AC183">
        <v>3279</v>
      </c>
      <c r="AE183">
        <v>3379</v>
      </c>
      <c r="AG183">
        <v>3479</v>
      </c>
      <c r="AI183">
        <v>3579</v>
      </c>
    </row>
    <row r="184" spans="1:35" x14ac:dyDescent="0.3">
      <c r="A184">
        <v>1880</v>
      </c>
      <c r="B184">
        <v>29108</v>
      </c>
      <c r="C184">
        <v>1980</v>
      </c>
      <c r="D184">
        <v>30999</v>
      </c>
      <c r="E184">
        <v>2080</v>
      </c>
      <c r="F184">
        <v>32866</v>
      </c>
      <c r="G184">
        <v>2180</v>
      </c>
      <c r="H184">
        <v>34706</v>
      </c>
      <c r="I184">
        <v>2280</v>
      </c>
      <c r="J184">
        <v>36509</v>
      </c>
      <c r="K184">
        <v>2380</v>
      </c>
      <c r="L184">
        <v>38267</v>
      </c>
      <c r="M184">
        <v>2480</v>
      </c>
      <c r="N184">
        <v>39971</v>
      </c>
      <c r="O184">
        <v>2580</v>
      </c>
      <c r="P184">
        <v>41611</v>
      </c>
      <c r="Q184">
        <v>2680</v>
      </c>
      <c r="R184">
        <v>43177</v>
      </c>
      <c r="S184">
        <v>2780</v>
      </c>
      <c r="T184">
        <v>44656</v>
      </c>
      <c r="U184">
        <v>2880</v>
      </c>
      <c r="V184">
        <v>46033</v>
      </c>
      <c r="W184">
        <v>2980</v>
      </c>
      <c r="X184">
        <v>47288</v>
      </c>
      <c r="Y184">
        <v>3080</v>
      </c>
      <c r="Z184">
        <v>48399</v>
      </c>
      <c r="AA184">
        <v>3180</v>
      </c>
      <c r="AB184">
        <v>49327</v>
      </c>
      <c r="AC184">
        <v>3280</v>
      </c>
      <c r="AD184">
        <v>50006</v>
      </c>
      <c r="AE184">
        <v>3380</v>
      </c>
      <c r="AG184">
        <v>3480</v>
      </c>
      <c r="AI184">
        <v>3580</v>
      </c>
    </row>
    <row r="185" spans="1:35" x14ac:dyDescent="0.3">
      <c r="A185">
        <v>1881</v>
      </c>
      <c r="B185">
        <f>29108+((29297-29108)/10)*(A185-1880)</f>
        <v>29126.9</v>
      </c>
      <c r="C185">
        <v>1981</v>
      </c>
      <c r="D185">
        <f>30999+((31186-30999)/10)*(C185-1980)</f>
        <v>31017.7</v>
      </c>
      <c r="E185">
        <v>2081</v>
      </c>
      <c r="F185">
        <f>32866+((33052-32866)/10)*(E185-2080)</f>
        <v>32884.6</v>
      </c>
      <c r="G185">
        <v>2181</v>
      </c>
      <c r="H185">
        <f>34706+((34888-34706)/10)*(G185-2180)</f>
        <v>34724.199999999997</v>
      </c>
      <c r="I185">
        <v>2281</v>
      </c>
      <c r="J185">
        <f>36509+((36687-36509)/10)*(I185-2280)</f>
        <v>36526.800000000003</v>
      </c>
      <c r="K185">
        <v>2381</v>
      </c>
      <c r="L185">
        <f>38440+((38440-38267)/10)*(K185-2380)</f>
        <v>38457.300000000003</v>
      </c>
      <c r="M185" t="s">
        <v>39</v>
      </c>
      <c r="N185" t="e">
        <f>39971+((40138-39971)/10)*(M185-2480)</f>
        <v>#VALUE!</v>
      </c>
      <c r="O185">
        <v>2581</v>
      </c>
      <c r="P185">
        <f>41611+((41771-41611)/10)*(O185-2580)</f>
        <v>41627</v>
      </c>
      <c r="Q185">
        <v>2681</v>
      </c>
      <c r="S185">
        <v>2781</v>
      </c>
      <c r="U185">
        <v>2881</v>
      </c>
      <c r="W185">
        <v>2981</v>
      </c>
      <c r="Y185">
        <v>3081</v>
      </c>
      <c r="AA185">
        <v>3181</v>
      </c>
      <c r="AC185">
        <v>3281</v>
      </c>
      <c r="AE185">
        <v>3381</v>
      </c>
      <c r="AG185">
        <v>3481</v>
      </c>
      <c r="AI185">
        <v>3581</v>
      </c>
    </row>
    <row r="186" spans="1:35" x14ac:dyDescent="0.3">
      <c r="A186">
        <v>1882</v>
      </c>
      <c r="B186">
        <f t="shared" ref="B186:B193" si="230">29108+((29297-29108)/10)*(A186-1880)</f>
        <v>29145.8</v>
      </c>
      <c r="C186">
        <v>1982</v>
      </c>
      <c r="D186">
        <f t="shared" ref="D186:D193" si="231">30999+((31186-30999)/10)*(C186-1980)</f>
        <v>31036.400000000001</v>
      </c>
      <c r="E186">
        <v>2082</v>
      </c>
      <c r="F186">
        <f t="shared" ref="F186:F193" si="232">32866+((33052-32866)/10)*(E186-2080)</f>
        <v>32903.199999999997</v>
      </c>
      <c r="G186">
        <v>2182</v>
      </c>
      <c r="H186">
        <f t="shared" ref="H186:H193" si="233">34706+((34888-34706)/10)*(G186-2180)</f>
        <v>34742.400000000001</v>
      </c>
      <c r="I186">
        <v>2282</v>
      </c>
      <c r="J186">
        <f t="shared" ref="J186:J193" si="234">36509+((36687-36509)/10)*(I186-2280)</f>
        <v>36544.6</v>
      </c>
      <c r="K186">
        <v>2382</v>
      </c>
      <c r="L186">
        <f t="shared" ref="L186:L193" si="235">38440+((38440-38267)/10)*(K186-2380)</f>
        <v>38474.6</v>
      </c>
      <c r="M186">
        <v>2482</v>
      </c>
      <c r="N186">
        <f t="shared" ref="N186:N193" si="236">39971+((40138-39971)/10)*(M186-2480)</f>
        <v>40004.400000000001</v>
      </c>
      <c r="O186">
        <v>2582</v>
      </c>
      <c r="P186">
        <f t="shared" ref="P186:P193" si="237">41611+((41771-41611)/10)*(O186-2580)</f>
        <v>41643</v>
      </c>
      <c r="Q186">
        <v>2682</v>
      </c>
      <c r="S186">
        <v>2782</v>
      </c>
      <c r="U186">
        <v>2882</v>
      </c>
      <c r="W186">
        <v>2982</v>
      </c>
      <c r="Y186">
        <v>3082</v>
      </c>
      <c r="AA186">
        <v>3182</v>
      </c>
      <c r="AC186">
        <v>3282</v>
      </c>
      <c r="AE186">
        <v>3382</v>
      </c>
      <c r="AG186">
        <v>3482</v>
      </c>
      <c r="AI186">
        <v>3582</v>
      </c>
    </row>
    <row r="187" spans="1:35" x14ac:dyDescent="0.3">
      <c r="A187">
        <v>1883</v>
      </c>
      <c r="B187">
        <f t="shared" si="230"/>
        <v>29164.7</v>
      </c>
      <c r="C187">
        <v>1983</v>
      </c>
      <c r="D187">
        <f t="shared" si="231"/>
        <v>31055.1</v>
      </c>
      <c r="E187">
        <v>2083</v>
      </c>
      <c r="F187">
        <f t="shared" si="232"/>
        <v>32921.800000000003</v>
      </c>
      <c r="G187">
        <v>2183</v>
      </c>
      <c r="H187">
        <f t="shared" si="233"/>
        <v>34760.6</v>
      </c>
      <c r="I187">
        <v>2283</v>
      </c>
      <c r="J187">
        <f t="shared" si="234"/>
        <v>36562.400000000001</v>
      </c>
      <c r="K187">
        <v>2383</v>
      </c>
      <c r="L187">
        <f t="shared" si="235"/>
        <v>38491.9</v>
      </c>
      <c r="M187">
        <v>2483</v>
      </c>
      <c r="N187">
        <f t="shared" si="236"/>
        <v>40021.1</v>
      </c>
      <c r="O187">
        <v>2583</v>
      </c>
      <c r="P187">
        <f t="shared" si="237"/>
        <v>41659</v>
      </c>
      <c r="Q187">
        <v>2683</v>
      </c>
      <c r="S187">
        <v>2783</v>
      </c>
      <c r="U187">
        <v>2883</v>
      </c>
      <c r="W187">
        <v>2983</v>
      </c>
      <c r="Y187">
        <v>3083</v>
      </c>
      <c r="AA187">
        <v>3183</v>
      </c>
      <c r="AC187">
        <v>3283</v>
      </c>
      <c r="AE187">
        <v>3383</v>
      </c>
      <c r="AG187">
        <v>3483</v>
      </c>
      <c r="AI187">
        <v>3583</v>
      </c>
    </row>
    <row r="188" spans="1:35" x14ac:dyDescent="0.3">
      <c r="A188">
        <v>1884</v>
      </c>
      <c r="B188">
        <f t="shared" si="230"/>
        <v>29183.599999999999</v>
      </c>
      <c r="C188">
        <v>1984</v>
      </c>
      <c r="D188">
        <f t="shared" si="231"/>
        <v>31073.8</v>
      </c>
      <c r="E188">
        <v>2084</v>
      </c>
      <c r="F188">
        <f t="shared" si="232"/>
        <v>32940.400000000001</v>
      </c>
      <c r="G188">
        <v>2184</v>
      </c>
      <c r="H188">
        <f t="shared" si="233"/>
        <v>34778.800000000003</v>
      </c>
      <c r="I188">
        <v>2284</v>
      </c>
      <c r="J188">
        <f t="shared" si="234"/>
        <v>36580.199999999997</v>
      </c>
      <c r="K188">
        <v>2384</v>
      </c>
      <c r="L188">
        <f t="shared" si="235"/>
        <v>38509.199999999997</v>
      </c>
      <c r="M188">
        <v>2484</v>
      </c>
      <c r="N188">
        <f t="shared" si="236"/>
        <v>40037.800000000003</v>
      </c>
      <c r="O188">
        <v>2584</v>
      </c>
      <c r="P188">
        <f t="shared" si="237"/>
        <v>41675</v>
      </c>
      <c r="Q188">
        <v>2684</v>
      </c>
      <c r="S188">
        <v>2784</v>
      </c>
      <c r="U188">
        <v>2884</v>
      </c>
      <c r="W188">
        <v>2984</v>
      </c>
      <c r="Y188">
        <v>3084</v>
      </c>
      <c r="AA188">
        <v>3184</v>
      </c>
      <c r="AC188">
        <v>3284</v>
      </c>
      <c r="AE188">
        <v>3384</v>
      </c>
      <c r="AG188">
        <v>3484</v>
      </c>
      <c r="AI188">
        <v>3584</v>
      </c>
    </row>
    <row r="189" spans="1:35" x14ac:dyDescent="0.3">
      <c r="A189">
        <v>1885</v>
      </c>
      <c r="B189">
        <f t="shared" si="230"/>
        <v>29202.5</v>
      </c>
      <c r="C189">
        <v>1985</v>
      </c>
      <c r="D189">
        <f t="shared" si="231"/>
        <v>31092.5</v>
      </c>
      <c r="E189">
        <v>2085</v>
      </c>
      <c r="F189">
        <f t="shared" si="232"/>
        <v>32959</v>
      </c>
      <c r="G189">
        <v>2185</v>
      </c>
      <c r="H189">
        <f t="shared" si="233"/>
        <v>34797</v>
      </c>
      <c r="I189">
        <v>2285</v>
      </c>
      <c r="J189">
        <f t="shared" si="234"/>
        <v>36598</v>
      </c>
      <c r="K189">
        <v>2385</v>
      </c>
      <c r="L189">
        <f t="shared" si="235"/>
        <v>38526.5</v>
      </c>
      <c r="M189">
        <v>2485</v>
      </c>
      <c r="N189">
        <f t="shared" si="236"/>
        <v>40054.5</v>
      </c>
      <c r="O189">
        <v>2585</v>
      </c>
      <c r="P189">
        <f t="shared" si="237"/>
        <v>41691</v>
      </c>
      <c r="Q189">
        <v>2685</v>
      </c>
      <c r="S189">
        <v>2785</v>
      </c>
      <c r="U189">
        <v>2885</v>
      </c>
      <c r="W189">
        <v>2985</v>
      </c>
      <c r="Y189">
        <v>3085</v>
      </c>
      <c r="AA189">
        <v>3185</v>
      </c>
      <c r="AC189">
        <v>3285</v>
      </c>
      <c r="AE189">
        <v>3385</v>
      </c>
      <c r="AG189">
        <v>3485</v>
      </c>
      <c r="AI189">
        <v>3585</v>
      </c>
    </row>
    <row r="190" spans="1:35" x14ac:dyDescent="0.3">
      <c r="A190">
        <v>1886</v>
      </c>
      <c r="B190">
        <f t="shared" si="230"/>
        <v>29221.4</v>
      </c>
      <c r="C190">
        <v>1986</v>
      </c>
      <c r="D190">
        <f t="shared" si="231"/>
        <v>31111.200000000001</v>
      </c>
      <c r="E190">
        <v>2086</v>
      </c>
      <c r="F190">
        <f t="shared" si="232"/>
        <v>32977.599999999999</v>
      </c>
      <c r="G190">
        <v>2186</v>
      </c>
      <c r="H190">
        <f t="shared" si="233"/>
        <v>34815.199999999997</v>
      </c>
      <c r="I190">
        <v>2286</v>
      </c>
      <c r="J190">
        <f t="shared" si="234"/>
        <v>36615.800000000003</v>
      </c>
      <c r="K190">
        <v>2386</v>
      </c>
      <c r="L190">
        <f t="shared" si="235"/>
        <v>38543.800000000003</v>
      </c>
      <c r="M190">
        <v>2486</v>
      </c>
      <c r="N190">
        <f t="shared" si="236"/>
        <v>40071.199999999997</v>
      </c>
      <c r="O190">
        <v>2586</v>
      </c>
      <c r="P190">
        <f t="shared" si="237"/>
        <v>41707</v>
      </c>
      <c r="Q190">
        <v>2686</v>
      </c>
      <c r="S190">
        <v>2786</v>
      </c>
      <c r="U190">
        <v>2886</v>
      </c>
      <c r="W190">
        <v>2986</v>
      </c>
      <c r="Y190">
        <v>3086</v>
      </c>
      <c r="AA190">
        <v>3186</v>
      </c>
      <c r="AC190">
        <v>3286</v>
      </c>
      <c r="AE190">
        <v>3386</v>
      </c>
      <c r="AG190">
        <v>3486</v>
      </c>
      <c r="AI190">
        <v>3586</v>
      </c>
    </row>
    <row r="191" spans="1:35" x14ac:dyDescent="0.3">
      <c r="A191">
        <v>1887</v>
      </c>
      <c r="B191">
        <f t="shared" si="230"/>
        <v>29240.3</v>
      </c>
      <c r="C191">
        <v>1987</v>
      </c>
      <c r="D191">
        <f t="shared" si="231"/>
        <v>31129.9</v>
      </c>
      <c r="E191">
        <v>2087</v>
      </c>
      <c r="F191">
        <f t="shared" si="232"/>
        <v>32996.199999999997</v>
      </c>
      <c r="G191">
        <v>2187</v>
      </c>
      <c r="H191">
        <f t="shared" si="233"/>
        <v>34833.4</v>
      </c>
      <c r="I191">
        <v>2287</v>
      </c>
      <c r="J191">
        <f t="shared" si="234"/>
        <v>36633.599999999999</v>
      </c>
      <c r="K191">
        <v>2387</v>
      </c>
      <c r="L191">
        <f t="shared" si="235"/>
        <v>38561.1</v>
      </c>
      <c r="M191">
        <v>2487</v>
      </c>
      <c r="N191">
        <f t="shared" si="236"/>
        <v>40087.9</v>
      </c>
      <c r="O191">
        <v>2587</v>
      </c>
      <c r="P191">
        <f t="shared" si="237"/>
        <v>41723</v>
      </c>
      <c r="Q191">
        <v>2687</v>
      </c>
      <c r="S191">
        <v>2787</v>
      </c>
      <c r="U191">
        <v>2887</v>
      </c>
      <c r="W191">
        <v>2987</v>
      </c>
      <c r="Y191">
        <v>3087</v>
      </c>
      <c r="AA191">
        <v>3187</v>
      </c>
      <c r="AC191">
        <v>3287</v>
      </c>
      <c r="AE191">
        <v>3387</v>
      </c>
      <c r="AG191">
        <v>3487</v>
      </c>
      <c r="AI191">
        <v>3587</v>
      </c>
    </row>
    <row r="192" spans="1:35" x14ac:dyDescent="0.3">
      <c r="A192">
        <v>1888</v>
      </c>
      <c r="B192">
        <f t="shared" si="230"/>
        <v>29259.200000000001</v>
      </c>
      <c r="C192">
        <v>1988</v>
      </c>
      <c r="D192">
        <f t="shared" si="231"/>
        <v>31148.6</v>
      </c>
      <c r="E192">
        <v>2088</v>
      </c>
      <c r="F192">
        <f t="shared" si="232"/>
        <v>33014.800000000003</v>
      </c>
      <c r="G192">
        <v>2188</v>
      </c>
      <c r="H192">
        <f t="shared" si="233"/>
        <v>34851.599999999999</v>
      </c>
      <c r="I192">
        <v>2288</v>
      </c>
      <c r="J192">
        <f t="shared" si="234"/>
        <v>36651.4</v>
      </c>
      <c r="K192">
        <v>2388</v>
      </c>
      <c r="L192">
        <f t="shared" si="235"/>
        <v>38578.400000000001</v>
      </c>
      <c r="M192">
        <v>2488</v>
      </c>
      <c r="N192">
        <f t="shared" si="236"/>
        <v>40104.6</v>
      </c>
      <c r="O192">
        <v>2588</v>
      </c>
      <c r="P192">
        <f t="shared" si="237"/>
        <v>41739</v>
      </c>
      <c r="Q192">
        <v>2688</v>
      </c>
      <c r="S192">
        <v>2788</v>
      </c>
      <c r="U192">
        <v>2888</v>
      </c>
      <c r="W192">
        <v>2988</v>
      </c>
      <c r="Y192">
        <v>3088</v>
      </c>
      <c r="AA192">
        <v>3188</v>
      </c>
      <c r="AC192">
        <v>3288</v>
      </c>
      <c r="AE192">
        <v>3388</v>
      </c>
      <c r="AG192">
        <v>3488</v>
      </c>
      <c r="AI192">
        <v>3588</v>
      </c>
    </row>
    <row r="193" spans="1:35" x14ac:dyDescent="0.3">
      <c r="A193">
        <v>1889</v>
      </c>
      <c r="B193">
        <f t="shared" si="230"/>
        <v>29278.1</v>
      </c>
      <c r="C193">
        <v>1989</v>
      </c>
      <c r="D193">
        <f t="shared" si="231"/>
        <v>31167.3</v>
      </c>
      <c r="E193">
        <v>2089</v>
      </c>
      <c r="F193">
        <f t="shared" si="232"/>
        <v>33033.4</v>
      </c>
      <c r="G193">
        <v>2189</v>
      </c>
      <c r="H193">
        <f t="shared" si="233"/>
        <v>34869.800000000003</v>
      </c>
      <c r="I193">
        <v>2289</v>
      </c>
      <c r="J193">
        <f t="shared" si="234"/>
        <v>36669.199999999997</v>
      </c>
      <c r="K193">
        <v>2389</v>
      </c>
      <c r="L193">
        <f t="shared" si="235"/>
        <v>38595.699999999997</v>
      </c>
      <c r="M193">
        <v>2489</v>
      </c>
      <c r="N193">
        <f t="shared" si="236"/>
        <v>40121.300000000003</v>
      </c>
      <c r="O193">
        <v>2589</v>
      </c>
      <c r="P193">
        <f t="shared" si="237"/>
        <v>41755</v>
      </c>
      <c r="Q193">
        <v>2689</v>
      </c>
      <c r="S193">
        <v>2789</v>
      </c>
      <c r="U193">
        <v>2889</v>
      </c>
      <c r="W193">
        <v>2989</v>
      </c>
      <c r="Y193">
        <v>3089</v>
      </c>
      <c r="AA193">
        <v>3189</v>
      </c>
      <c r="AC193">
        <v>3289</v>
      </c>
      <c r="AE193">
        <v>3389</v>
      </c>
      <c r="AG193">
        <v>3489</v>
      </c>
      <c r="AI193">
        <v>3589</v>
      </c>
    </row>
    <row r="194" spans="1:35" x14ac:dyDescent="0.3">
      <c r="A194">
        <v>1890</v>
      </c>
      <c r="B194">
        <v>29297</v>
      </c>
      <c r="C194">
        <v>1990</v>
      </c>
      <c r="D194">
        <v>31186</v>
      </c>
      <c r="E194">
        <v>2090</v>
      </c>
      <c r="F194">
        <v>33052</v>
      </c>
      <c r="G194">
        <v>2190</v>
      </c>
      <c r="H194">
        <v>34888</v>
      </c>
      <c r="I194">
        <v>2290</v>
      </c>
      <c r="J194">
        <v>36687</v>
      </c>
      <c r="K194">
        <v>2390</v>
      </c>
      <c r="L194">
        <v>38440</v>
      </c>
      <c r="M194">
        <v>2490</v>
      </c>
      <c r="N194">
        <v>40138</v>
      </c>
      <c r="O194">
        <v>2590</v>
      </c>
      <c r="P194">
        <v>41771</v>
      </c>
      <c r="Q194">
        <v>2690</v>
      </c>
      <c r="R194">
        <v>43329</v>
      </c>
      <c r="S194">
        <v>2790</v>
      </c>
      <c r="T194">
        <v>44798</v>
      </c>
      <c r="U194">
        <v>2890</v>
      </c>
      <c r="V194">
        <v>46164</v>
      </c>
      <c r="W194">
        <v>2990</v>
      </c>
      <c r="X194">
        <v>47406</v>
      </c>
      <c r="Y194">
        <v>3090</v>
      </c>
      <c r="Z194">
        <v>48501</v>
      </c>
      <c r="AA194">
        <v>3190</v>
      </c>
      <c r="AB194">
        <v>49408</v>
      </c>
      <c r="AC194">
        <v>3290</v>
      </c>
      <c r="AD194">
        <v>50055</v>
      </c>
      <c r="AE194">
        <v>3390</v>
      </c>
      <c r="AG194">
        <v>3490</v>
      </c>
      <c r="AI194">
        <v>3590</v>
      </c>
    </row>
    <row r="195" spans="1:35" x14ac:dyDescent="0.3">
      <c r="A195">
        <v>1891</v>
      </c>
      <c r="B195">
        <f>29297+((29487-29297)/10)*(A195-1890)</f>
        <v>29316</v>
      </c>
      <c r="C195">
        <v>1991</v>
      </c>
      <c r="D195">
        <f>31186+((31373-31186)/10)*(C195-1990)</f>
        <v>31204.7</v>
      </c>
      <c r="E195">
        <v>2091</v>
      </c>
      <c r="F195">
        <f>33052+((33237-33052)/10)*(E195-2090)</f>
        <v>33070.5</v>
      </c>
      <c r="G195">
        <v>2191</v>
      </c>
      <c r="H195">
        <f>34888+((35070-34888)/10)*(G195-2190)</f>
        <v>34906.199999999997</v>
      </c>
      <c r="I195">
        <v>2291</v>
      </c>
      <c r="J195">
        <f>36687+((36864-36687)/10)*(I195-2290)</f>
        <v>36704.699999999997</v>
      </c>
      <c r="K195">
        <v>2391</v>
      </c>
      <c r="L195">
        <f>38440+((38612-38440)/10)*(K195-2390)</f>
        <v>38457.199999999997</v>
      </c>
      <c r="M195">
        <v>2491</v>
      </c>
      <c r="N195">
        <f>40138+((40304-40138)/10)*(M195-2490)</f>
        <v>40154.6</v>
      </c>
      <c r="O195">
        <v>2591</v>
      </c>
      <c r="P195">
        <f>41771+((41931-41771)/10)*(O195-2590)</f>
        <v>41787</v>
      </c>
      <c r="Q195">
        <v>2691</v>
      </c>
      <c r="S195">
        <v>2791</v>
      </c>
      <c r="T195">
        <f>44798+((44940-44798)/10)*(S195-2790)</f>
        <v>44812.2</v>
      </c>
      <c r="U195">
        <v>2891</v>
      </c>
      <c r="V195">
        <f>46165+((46294-46164)/10)*(U195-2890)</f>
        <v>46178</v>
      </c>
      <c r="W195">
        <v>2991</v>
      </c>
      <c r="Y195">
        <v>3091</v>
      </c>
      <c r="Z195">
        <f>48501+((48600-48501)/10)*(Y195-3090)</f>
        <v>48510.9</v>
      </c>
      <c r="AA195">
        <v>3191</v>
      </c>
      <c r="AC195">
        <v>3291</v>
      </c>
      <c r="AE195">
        <v>3391</v>
      </c>
      <c r="AG195">
        <v>3491</v>
      </c>
      <c r="AI195">
        <v>3591</v>
      </c>
    </row>
    <row r="196" spans="1:35" x14ac:dyDescent="0.3">
      <c r="A196">
        <v>1892</v>
      </c>
      <c r="B196">
        <f t="shared" ref="B196:B203" si="238">29297+((29487-29297)/10)*(A196-1890)</f>
        <v>29335</v>
      </c>
      <c r="C196">
        <v>1992</v>
      </c>
      <c r="D196">
        <f t="shared" ref="D196:D203" si="239">31186+((31373-31186)/10)*(C196-1990)</f>
        <v>31223.4</v>
      </c>
      <c r="E196">
        <v>2092</v>
      </c>
      <c r="F196">
        <f t="shared" ref="F196:F203" si="240">33052+((33237-33052)/10)*(E196-2090)</f>
        <v>33089</v>
      </c>
      <c r="G196">
        <v>2192</v>
      </c>
      <c r="H196">
        <f t="shared" ref="H196:H203" si="241">34888+((35070-34888)/10)*(G196-2190)</f>
        <v>34924.400000000001</v>
      </c>
      <c r="I196">
        <v>2292</v>
      </c>
      <c r="J196">
        <f t="shared" ref="J196:J203" si="242">36687+((36864-36687)/10)*(I196-2290)</f>
        <v>36722.400000000001</v>
      </c>
      <c r="K196">
        <v>2392</v>
      </c>
      <c r="L196">
        <f t="shared" ref="L196:L203" si="243">38440+((38612-38440)/10)*(K196-2390)</f>
        <v>38474.400000000001</v>
      </c>
      <c r="M196">
        <v>2492</v>
      </c>
      <c r="N196">
        <f t="shared" ref="N196:N203" si="244">40138+((40304-40138)/10)*(M196-2490)</f>
        <v>40171.199999999997</v>
      </c>
      <c r="O196">
        <v>2592</v>
      </c>
      <c r="P196">
        <f t="shared" ref="P196:P203" si="245">41771+((41931-41771)/10)*(O196-2590)</f>
        <v>41803</v>
      </c>
      <c r="Q196">
        <v>2692</v>
      </c>
      <c r="S196">
        <v>2792</v>
      </c>
      <c r="T196">
        <f t="shared" ref="T196:T203" si="246">44798+((44940-44798)/10)*(S196-2790)</f>
        <v>44826.400000000001</v>
      </c>
      <c r="U196">
        <v>2892</v>
      </c>
      <c r="V196">
        <f t="shared" ref="V196:V203" si="247">46165+((46294-46164)/10)*(U196-2890)</f>
        <v>46191</v>
      </c>
      <c r="W196">
        <v>2992</v>
      </c>
      <c r="Y196">
        <v>3092</v>
      </c>
      <c r="Z196">
        <f t="shared" ref="Z196:Z203" si="248">48501+((48600-48501)/10)*(Y196-3090)</f>
        <v>48520.800000000003</v>
      </c>
      <c r="AA196">
        <v>3192</v>
      </c>
      <c r="AC196">
        <v>3292</v>
      </c>
      <c r="AE196">
        <v>3392</v>
      </c>
      <c r="AG196">
        <v>3492</v>
      </c>
      <c r="AI196">
        <v>3592</v>
      </c>
    </row>
    <row r="197" spans="1:35" x14ac:dyDescent="0.3">
      <c r="A197">
        <v>1893</v>
      </c>
      <c r="B197">
        <f t="shared" si="238"/>
        <v>29354</v>
      </c>
      <c r="C197">
        <v>1993</v>
      </c>
      <c r="D197">
        <f t="shared" si="239"/>
        <v>31242.1</v>
      </c>
      <c r="E197">
        <v>2093</v>
      </c>
      <c r="F197">
        <f t="shared" si="240"/>
        <v>33107.5</v>
      </c>
      <c r="G197">
        <v>2193</v>
      </c>
      <c r="H197">
        <f t="shared" si="241"/>
        <v>34942.6</v>
      </c>
      <c r="I197">
        <v>2293</v>
      </c>
      <c r="J197">
        <f t="shared" si="242"/>
        <v>36740.1</v>
      </c>
      <c r="K197">
        <v>2393</v>
      </c>
      <c r="L197">
        <f t="shared" si="243"/>
        <v>38491.599999999999</v>
      </c>
      <c r="M197">
        <v>2493</v>
      </c>
      <c r="N197">
        <f t="shared" si="244"/>
        <v>40187.800000000003</v>
      </c>
      <c r="O197">
        <v>2593</v>
      </c>
      <c r="P197">
        <f t="shared" si="245"/>
        <v>41819</v>
      </c>
      <c r="Q197">
        <v>2693</v>
      </c>
      <c r="S197">
        <v>2793</v>
      </c>
      <c r="T197">
        <f t="shared" si="246"/>
        <v>44840.6</v>
      </c>
      <c r="U197">
        <v>2893</v>
      </c>
      <c r="V197">
        <f t="shared" si="247"/>
        <v>46204</v>
      </c>
      <c r="W197">
        <v>2993</v>
      </c>
      <c r="Y197">
        <v>3093</v>
      </c>
      <c r="Z197">
        <f t="shared" si="248"/>
        <v>48530.7</v>
      </c>
      <c r="AA197">
        <v>3193</v>
      </c>
      <c r="AC197">
        <v>3293</v>
      </c>
      <c r="AE197">
        <v>3393</v>
      </c>
      <c r="AG197">
        <v>3493</v>
      </c>
      <c r="AI197">
        <v>3593</v>
      </c>
    </row>
    <row r="198" spans="1:35" x14ac:dyDescent="0.3">
      <c r="A198">
        <v>1894</v>
      </c>
      <c r="B198">
        <f t="shared" si="238"/>
        <v>29373</v>
      </c>
      <c r="C198">
        <v>1994</v>
      </c>
      <c r="D198">
        <f t="shared" si="239"/>
        <v>31260.799999999999</v>
      </c>
      <c r="E198">
        <v>2094</v>
      </c>
      <c r="F198">
        <f t="shared" si="240"/>
        <v>33126</v>
      </c>
      <c r="G198">
        <v>2194</v>
      </c>
      <c r="H198">
        <f t="shared" si="241"/>
        <v>34960.800000000003</v>
      </c>
      <c r="I198">
        <v>2294</v>
      </c>
      <c r="J198">
        <f t="shared" si="242"/>
        <v>36757.800000000003</v>
      </c>
      <c r="K198">
        <v>2394</v>
      </c>
      <c r="L198">
        <f t="shared" si="243"/>
        <v>38508.800000000003</v>
      </c>
      <c r="M198">
        <v>2494</v>
      </c>
      <c r="N198">
        <f t="shared" si="244"/>
        <v>40204.400000000001</v>
      </c>
      <c r="O198">
        <v>2594</v>
      </c>
      <c r="P198">
        <f t="shared" si="245"/>
        <v>41835</v>
      </c>
      <c r="Q198">
        <v>2694</v>
      </c>
      <c r="S198">
        <v>2794</v>
      </c>
      <c r="T198">
        <f t="shared" si="246"/>
        <v>44854.8</v>
      </c>
      <c r="U198">
        <v>2894</v>
      </c>
      <c r="V198">
        <f t="shared" si="247"/>
        <v>46217</v>
      </c>
      <c r="W198">
        <v>2994</v>
      </c>
      <c r="Y198">
        <v>3094</v>
      </c>
      <c r="Z198">
        <f t="shared" si="248"/>
        <v>48540.6</v>
      </c>
      <c r="AA198">
        <v>3194</v>
      </c>
      <c r="AC198">
        <v>3294</v>
      </c>
      <c r="AE198">
        <v>3394</v>
      </c>
      <c r="AG198">
        <v>3494</v>
      </c>
      <c r="AI198">
        <v>3594</v>
      </c>
    </row>
    <row r="199" spans="1:35" x14ac:dyDescent="0.3">
      <c r="A199">
        <v>1895</v>
      </c>
      <c r="B199">
        <f t="shared" si="238"/>
        <v>29392</v>
      </c>
      <c r="C199">
        <v>1995</v>
      </c>
      <c r="D199">
        <f t="shared" si="239"/>
        <v>31279.5</v>
      </c>
      <c r="E199">
        <v>2095</v>
      </c>
      <c r="F199">
        <f t="shared" si="240"/>
        <v>33144.5</v>
      </c>
      <c r="G199">
        <v>2195</v>
      </c>
      <c r="H199">
        <f t="shared" si="241"/>
        <v>34979</v>
      </c>
      <c r="I199">
        <v>2295</v>
      </c>
      <c r="J199">
        <f t="shared" si="242"/>
        <v>36775.5</v>
      </c>
      <c r="K199">
        <v>2395</v>
      </c>
      <c r="L199">
        <f t="shared" si="243"/>
        <v>38526</v>
      </c>
      <c r="M199">
        <v>2495</v>
      </c>
      <c r="N199">
        <f t="shared" si="244"/>
        <v>40221</v>
      </c>
      <c r="O199">
        <v>2595</v>
      </c>
      <c r="P199">
        <f t="shared" si="245"/>
        <v>41851</v>
      </c>
      <c r="Q199">
        <v>2695</v>
      </c>
      <c r="S199">
        <v>2795</v>
      </c>
      <c r="T199">
        <f t="shared" si="246"/>
        <v>44869</v>
      </c>
      <c r="U199">
        <v>2895</v>
      </c>
      <c r="V199">
        <f t="shared" si="247"/>
        <v>46230</v>
      </c>
      <c r="W199">
        <v>2995</v>
      </c>
      <c r="Y199">
        <v>3095</v>
      </c>
      <c r="Z199">
        <f t="shared" si="248"/>
        <v>48550.5</v>
      </c>
      <c r="AA199">
        <v>3195</v>
      </c>
      <c r="AC199">
        <v>3295</v>
      </c>
      <c r="AE199">
        <v>3395</v>
      </c>
      <c r="AG199">
        <v>3495</v>
      </c>
      <c r="AI199">
        <v>3595</v>
      </c>
    </row>
    <row r="200" spans="1:35" x14ac:dyDescent="0.3">
      <c r="A200">
        <v>1896</v>
      </c>
      <c r="B200">
        <f t="shared" si="238"/>
        <v>29411</v>
      </c>
      <c r="C200">
        <v>1996</v>
      </c>
      <c r="D200">
        <f t="shared" si="239"/>
        <v>31298.2</v>
      </c>
      <c r="E200">
        <v>2096</v>
      </c>
      <c r="F200">
        <f t="shared" si="240"/>
        <v>33163</v>
      </c>
      <c r="G200">
        <v>2196</v>
      </c>
      <c r="H200">
        <f t="shared" si="241"/>
        <v>34997.199999999997</v>
      </c>
      <c r="I200">
        <v>2296</v>
      </c>
      <c r="J200">
        <f t="shared" si="242"/>
        <v>36793.199999999997</v>
      </c>
      <c r="K200">
        <v>2396</v>
      </c>
      <c r="L200">
        <f t="shared" si="243"/>
        <v>38543.199999999997</v>
      </c>
      <c r="M200">
        <v>2496</v>
      </c>
      <c r="N200">
        <f t="shared" si="244"/>
        <v>40237.599999999999</v>
      </c>
      <c r="O200">
        <v>2596</v>
      </c>
      <c r="P200">
        <f t="shared" si="245"/>
        <v>41867</v>
      </c>
      <c r="Q200">
        <v>2696</v>
      </c>
      <c r="S200">
        <v>2796</v>
      </c>
      <c r="T200">
        <f t="shared" si="246"/>
        <v>44883.199999999997</v>
      </c>
      <c r="U200">
        <v>2896</v>
      </c>
      <c r="V200">
        <f t="shared" si="247"/>
        <v>46243</v>
      </c>
      <c r="W200">
        <v>2996</v>
      </c>
      <c r="Y200">
        <v>3096</v>
      </c>
      <c r="Z200">
        <f t="shared" si="248"/>
        <v>48560.4</v>
      </c>
      <c r="AA200">
        <v>3196</v>
      </c>
      <c r="AC200">
        <v>3296</v>
      </c>
      <c r="AE200">
        <v>3396</v>
      </c>
      <c r="AG200">
        <v>3496</v>
      </c>
      <c r="AI200">
        <v>3596</v>
      </c>
    </row>
    <row r="201" spans="1:35" x14ac:dyDescent="0.3">
      <c r="A201">
        <v>1897</v>
      </c>
      <c r="B201">
        <f t="shared" si="238"/>
        <v>29430</v>
      </c>
      <c r="C201">
        <v>1997</v>
      </c>
      <c r="D201">
        <f t="shared" si="239"/>
        <v>31316.9</v>
      </c>
      <c r="E201">
        <v>2097</v>
      </c>
      <c r="F201">
        <f t="shared" si="240"/>
        <v>33181.5</v>
      </c>
      <c r="G201">
        <v>2197</v>
      </c>
      <c r="H201">
        <f t="shared" si="241"/>
        <v>35015.4</v>
      </c>
      <c r="I201">
        <v>2297</v>
      </c>
      <c r="J201">
        <f t="shared" si="242"/>
        <v>36810.9</v>
      </c>
      <c r="K201">
        <v>2397</v>
      </c>
      <c r="L201">
        <f t="shared" si="243"/>
        <v>38560.400000000001</v>
      </c>
      <c r="M201">
        <v>2497</v>
      </c>
      <c r="N201">
        <f t="shared" si="244"/>
        <v>40254.199999999997</v>
      </c>
      <c r="O201">
        <v>2597</v>
      </c>
      <c r="P201">
        <f t="shared" si="245"/>
        <v>41883</v>
      </c>
      <c r="Q201">
        <v>2697</v>
      </c>
      <c r="S201">
        <v>2797</v>
      </c>
      <c r="T201">
        <f t="shared" si="246"/>
        <v>44897.4</v>
      </c>
      <c r="U201">
        <v>2897</v>
      </c>
      <c r="V201">
        <f t="shared" si="247"/>
        <v>46256</v>
      </c>
      <c r="W201">
        <v>2997</v>
      </c>
      <c r="Y201">
        <v>3097</v>
      </c>
      <c r="Z201">
        <f t="shared" si="248"/>
        <v>48570.3</v>
      </c>
      <c r="AA201">
        <v>3197</v>
      </c>
      <c r="AC201">
        <v>3297</v>
      </c>
      <c r="AE201">
        <v>3397</v>
      </c>
      <c r="AG201">
        <v>3497</v>
      </c>
      <c r="AI201">
        <v>3597</v>
      </c>
    </row>
    <row r="202" spans="1:35" x14ac:dyDescent="0.3">
      <c r="A202">
        <v>1898</v>
      </c>
      <c r="B202">
        <f t="shared" si="238"/>
        <v>29449</v>
      </c>
      <c r="C202">
        <v>1998</v>
      </c>
      <c r="D202">
        <f t="shared" si="239"/>
        <v>31335.599999999999</v>
      </c>
      <c r="E202">
        <v>2098</v>
      </c>
      <c r="F202">
        <f t="shared" si="240"/>
        <v>33200</v>
      </c>
      <c r="G202">
        <v>2198</v>
      </c>
      <c r="H202">
        <f t="shared" si="241"/>
        <v>35033.599999999999</v>
      </c>
      <c r="I202">
        <v>2298</v>
      </c>
      <c r="J202">
        <f t="shared" si="242"/>
        <v>36828.6</v>
      </c>
      <c r="K202">
        <v>2398</v>
      </c>
      <c r="L202">
        <f t="shared" si="243"/>
        <v>38577.599999999999</v>
      </c>
      <c r="M202">
        <v>2498</v>
      </c>
      <c r="N202">
        <f t="shared" si="244"/>
        <v>40270.800000000003</v>
      </c>
      <c r="O202">
        <v>2598</v>
      </c>
      <c r="P202">
        <f t="shared" si="245"/>
        <v>41899</v>
      </c>
      <c r="Q202">
        <v>2698</v>
      </c>
      <c r="S202">
        <v>2798</v>
      </c>
      <c r="T202">
        <f t="shared" si="246"/>
        <v>44911.6</v>
      </c>
      <c r="U202">
        <v>2898</v>
      </c>
      <c r="V202">
        <f t="shared" si="247"/>
        <v>46269</v>
      </c>
      <c r="W202">
        <v>2998</v>
      </c>
      <c r="Y202">
        <v>3098</v>
      </c>
      <c r="Z202">
        <f t="shared" si="248"/>
        <v>48580.2</v>
      </c>
      <c r="AA202">
        <v>3198</v>
      </c>
      <c r="AC202">
        <v>3298</v>
      </c>
      <c r="AE202">
        <v>3398</v>
      </c>
      <c r="AG202">
        <v>3498</v>
      </c>
      <c r="AI202">
        <v>3598</v>
      </c>
    </row>
    <row r="203" spans="1:35" x14ac:dyDescent="0.3">
      <c r="A203">
        <v>1899</v>
      </c>
      <c r="B203">
        <f t="shared" si="238"/>
        <v>29468</v>
      </c>
      <c r="C203">
        <v>1999</v>
      </c>
      <c r="D203">
        <f t="shared" si="239"/>
        <v>31354.3</v>
      </c>
      <c r="E203">
        <v>2099</v>
      </c>
      <c r="F203">
        <f t="shared" si="240"/>
        <v>33218.5</v>
      </c>
      <c r="G203">
        <v>2199</v>
      </c>
      <c r="H203">
        <f t="shared" si="241"/>
        <v>35051.800000000003</v>
      </c>
      <c r="I203">
        <v>2299</v>
      </c>
      <c r="J203">
        <f t="shared" si="242"/>
        <v>36846.300000000003</v>
      </c>
      <c r="K203">
        <v>2399</v>
      </c>
      <c r="L203">
        <f t="shared" si="243"/>
        <v>38594.800000000003</v>
      </c>
      <c r="M203">
        <v>2499</v>
      </c>
      <c r="N203">
        <f t="shared" si="244"/>
        <v>40287.4</v>
      </c>
      <c r="O203">
        <v>2599</v>
      </c>
      <c r="P203">
        <f t="shared" si="245"/>
        <v>41915</v>
      </c>
      <c r="Q203">
        <v>2699</v>
      </c>
      <c r="S203">
        <v>2799</v>
      </c>
      <c r="T203">
        <f t="shared" si="246"/>
        <v>44925.8</v>
      </c>
      <c r="U203">
        <v>2899</v>
      </c>
      <c r="V203">
        <f t="shared" si="247"/>
        <v>46282</v>
      </c>
      <c r="W203">
        <v>2999</v>
      </c>
      <c r="Y203">
        <v>3099</v>
      </c>
      <c r="Z203">
        <f t="shared" si="248"/>
        <v>48590.1</v>
      </c>
      <c r="AA203">
        <v>3199</v>
      </c>
      <c r="AC203">
        <v>3299</v>
      </c>
      <c r="AE203">
        <v>3399</v>
      </c>
      <c r="AG203">
        <v>3499</v>
      </c>
      <c r="AI203">
        <v>3599</v>
      </c>
    </row>
    <row r="204" spans="1:35" x14ac:dyDescent="0.3">
      <c r="A204">
        <v>1900</v>
      </c>
      <c r="B204">
        <v>29487</v>
      </c>
      <c r="C204">
        <v>2000</v>
      </c>
      <c r="D204">
        <v>31373</v>
      </c>
      <c r="E204">
        <v>2100</v>
      </c>
      <c r="F204">
        <v>33237</v>
      </c>
      <c r="G204">
        <v>2200</v>
      </c>
      <c r="H204">
        <v>35070</v>
      </c>
      <c r="I204">
        <v>2300</v>
      </c>
      <c r="J204">
        <v>36864</v>
      </c>
      <c r="K204">
        <v>2400</v>
      </c>
      <c r="L204">
        <v>38612</v>
      </c>
      <c r="M204">
        <v>2500</v>
      </c>
      <c r="N204">
        <v>40304</v>
      </c>
      <c r="O204">
        <v>2600</v>
      </c>
      <c r="P204">
        <v>41931</v>
      </c>
      <c r="Q204">
        <v>2700</v>
      </c>
      <c r="R204">
        <v>43480</v>
      </c>
      <c r="S204">
        <v>2800</v>
      </c>
      <c r="T204">
        <v>44940</v>
      </c>
      <c r="U204">
        <v>2900</v>
      </c>
      <c r="V204">
        <v>46294</v>
      </c>
      <c r="W204">
        <v>3000</v>
      </c>
      <c r="X204">
        <v>47523</v>
      </c>
      <c r="Y204">
        <v>3100</v>
      </c>
      <c r="Z204">
        <v>48600</v>
      </c>
      <c r="AA204">
        <v>3200</v>
      </c>
      <c r="AB204">
        <v>49486</v>
      </c>
      <c r="AC204">
        <v>3300</v>
      </c>
      <c r="AD204">
        <v>50099</v>
      </c>
      <c r="AE204">
        <v>3400</v>
      </c>
      <c r="AG204">
        <v>3500</v>
      </c>
      <c r="AI204">
        <v>3600</v>
      </c>
    </row>
    <row r="205" spans="1:35" x14ac:dyDescent="0.3">
      <c r="A205">
        <v>47523</v>
      </c>
      <c r="B205">
        <v>3100</v>
      </c>
      <c r="C205">
        <v>48600</v>
      </c>
      <c r="D205">
        <v>3200</v>
      </c>
      <c r="E205">
        <v>49486</v>
      </c>
      <c r="F205">
        <v>3300</v>
      </c>
      <c r="G205">
        <v>50099</v>
      </c>
      <c r="H205">
        <v>3400</v>
      </c>
      <c r="J205">
        <v>3500</v>
      </c>
      <c r="L205">
        <v>3600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167"/>
  <sheetViews>
    <sheetView tabSelected="1" zoomScaleNormal="100" workbookViewId="0">
      <pane xSplit="1" ySplit="2" topLeftCell="AD3" activePane="bottomRight" state="frozen"/>
      <selection activeCell="E13" sqref="E13"/>
      <selection pane="topRight" activeCell="E13" sqref="E13"/>
      <selection pane="bottomLeft" activeCell="E13" sqref="E13"/>
      <selection pane="bottomRight" activeCell="E13" sqref="E13"/>
    </sheetView>
  </sheetViews>
  <sheetFormatPr defaultRowHeight="14.4" x14ac:dyDescent="0.3"/>
  <cols>
    <col min="1" max="1" width="10.5546875" bestFit="1" customWidth="1"/>
    <col min="2" max="3" width="9" bestFit="1" customWidth="1"/>
    <col min="4" max="5" width="8.77734375" bestFit="1" customWidth="1"/>
    <col min="6" max="6" width="9" bestFit="1" customWidth="1"/>
    <col min="7" max="7" width="8" bestFit="1" customWidth="1"/>
    <col min="8" max="8" width="11" bestFit="1" customWidth="1"/>
    <col min="9" max="9" width="12.109375" bestFit="1" customWidth="1"/>
    <col min="10" max="10" width="8.77734375" bestFit="1" customWidth="1"/>
    <col min="11" max="11" width="9.88671875" bestFit="1" customWidth="1"/>
    <col min="23" max="23" width="10.6640625" bestFit="1" customWidth="1"/>
    <col min="24" max="24" width="9.109375" customWidth="1"/>
    <col min="28" max="28" width="8.33203125" customWidth="1"/>
    <col min="29" max="29" width="8.109375" customWidth="1"/>
    <col min="30" max="30" width="8.33203125" customWidth="1"/>
    <col min="31" max="31" width="7.88671875" customWidth="1"/>
    <col min="32" max="33" width="9.6640625" bestFit="1" customWidth="1"/>
    <col min="34" max="34" width="6.6640625" customWidth="1"/>
    <col min="35" max="35" width="9.88671875" style="12" customWidth="1"/>
    <col min="36" max="36" width="9.88671875" style="15" customWidth="1"/>
    <col min="37" max="37" width="9.88671875" style="12" customWidth="1"/>
    <col min="38" max="38" width="10" style="15" customWidth="1"/>
    <col min="39" max="39" width="10" style="12" customWidth="1"/>
    <col min="40" max="40" width="9.88671875" style="15" customWidth="1"/>
    <col min="41" max="41" width="10" style="12" customWidth="1"/>
    <col min="42" max="42" width="9.88671875" style="15" customWidth="1"/>
    <col min="43" max="43" width="10.33203125" style="16" customWidth="1"/>
  </cols>
  <sheetData>
    <row r="1" spans="1:43" ht="15.75" customHeight="1" thickBot="1" x14ac:dyDescent="0.35">
      <c r="A1" s="9"/>
      <c r="B1" s="10"/>
      <c r="C1" s="10"/>
      <c r="D1" s="10"/>
      <c r="E1" s="10"/>
      <c r="F1" s="10"/>
      <c r="G1" s="10"/>
      <c r="H1" s="10"/>
      <c r="I1" s="11"/>
      <c r="J1" s="10"/>
      <c r="K1" s="10"/>
      <c r="L1" s="10"/>
      <c r="M1" s="31" t="s">
        <v>19</v>
      </c>
      <c r="N1" s="10"/>
      <c r="O1" s="31" t="s">
        <v>20</v>
      </c>
      <c r="P1" s="10"/>
      <c r="Q1" s="31" t="s">
        <v>21</v>
      </c>
      <c r="R1" s="10"/>
      <c r="S1" s="31" t="s">
        <v>26</v>
      </c>
      <c r="T1" s="10"/>
      <c r="U1" s="31" t="s">
        <v>28</v>
      </c>
      <c r="V1" s="33" t="s">
        <v>22</v>
      </c>
      <c r="W1" s="34"/>
      <c r="X1" s="34"/>
      <c r="Y1" s="35"/>
      <c r="Z1" s="36" t="s">
        <v>23</v>
      </c>
      <c r="AA1" s="37"/>
      <c r="AB1" s="37"/>
      <c r="AC1" s="37"/>
      <c r="AD1" s="38"/>
      <c r="AE1" s="28" t="s">
        <v>24</v>
      </c>
      <c r="AF1" s="29"/>
      <c r="AG1" s="29"/>
      <c r="AH1" s="30"/>
      <c r="AI1" s="24" t="s">
        <v>33</v>
      </c>
      <c r="AJ1" s="26" t="s">
        <v>31</v>
      </c>
      <c r="AK1" s="24" t="s">
        <v>34</v>
      </c>
      <c r="AL1" s="26" t="s">
        <v>31</v>
      </c>
      <c r="AM1" s="24" t="s">
        <v>35</v>
      </c>
      <c r="AN1" s="26" t="s">
        <v>31</v>
      </c>
      <c r="AO1" s="24" t="s">
        <v>36</v>
      </c>
      <c r="AP1" s="26" t="s">
        <v>31</v>
      </c>
      <c r="AQ1" s="23" t="s">
        <v>42</v>
      </c>
    </row>
    <row r="2" spans="1:43" ht="15.75" customHeight="1" thickBot="1" x14ac:dyDescent="0.35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40</v>
      </c>
      <c r="H2" s="4" t="s">
        <v>6</v>
      </c>
      <c r="I2" s="5" t="s">
        <v>7</v>
      </c>
      <c r="J2" s="4" t="s">
        <v>8</v>
      </c>
      <c r="K2" s="4" t="s">
        <v>9</v>
      </c>
      <c r="L2" s="3" t="s">
        <v>10</v>
      </c>
      <c r="M2" s="32"/>
      <c r="N2" s="4" t="s">
        <v>11</v>
      </c>
      <c r="O2" s="32"/>
      <c r="P2" s="4" t="s">
        <v>12</v>
      </c>
      <c r="Q2" s="32"/>
      <c r="R2" s="3" t="s">
        <v>25</v>
      </c>
      <c r="S2" s="32"/>
      <c r="T2" s="3" t="s">
        <v>27</v>
      </c>
      <c r="U2" s="32"/>
      <c r="V2" s="6" t="s">
        <v>13</v>
      </c>
      <c r="W2" s="7" t="s">
        <v>14</v>
      </c>
      <c r="X2" s="7" t="s">
        <v>41</v>
      </c>
      <c r="Y2" s="7" t="s">
        <v>15</v>
      </c>
      <c r="Z2" s="8" t="s">
        <v>16</v>
      </c>
      <c r="AA2" s="8" t="s">
        <v>17</v>
      </c>
      <c r="AB2" s="8" t="s">
        <v>18</v>
      </c>
      <c r="AC2" s="8" t="s">
        <v>29</v>
      </c>
      <c r="AD2" s="8" t="s">
        <v>30</v>
      </c>
      <c r="AE2" s="8" t="s">
        <v>32</v>
      </c>
      <c r="AF2" s="8" t="s">
        <v>18</v>
      </c>
      <c r="AG2" s="8" t="s">
        <v>29</v>
      </c>
      <c r="AH2" s="8" t="s">
        <v>30</v>
      </c>
      <c r="AI2" s="25"/>
      <c r="AJ2" s="27"/>
      <c r="AK2" s="25"/>
      <c r="AL2" s="27"/>
      <c r="AM2" s="25"/>
      <c r="AN2" s="27"/>
      <c r="AO2" s="25"/>
      <c r="AP2" s="27"/>
      <c r="AQ2" s="23"/>
    </row>
    <row r="3" spans="1:43" ht="15.6" x14ac:dyDescent="0.3">
      <c r="A3" s="17">
        <v>46082</v>
      </c>
      <c r="B3" s="13">
        <v>6782200</v>
      </c>
      <c r="C3" s="13">
        <v>7097290</v>
      </c>
      <c r="D3" s="21">
        <v>25771</v>
      </c>
      <c r="E3" s="21">
        <v>101472</v>
      </c>
      <c r="F3" s="21">
        <v>3784164</v>
      </c>
      <c r="G3" s="21">
        <v>69405</v>
      </c>
      <c r="H3" s="20">
        <v>7957116</v>
      </c>
      <c r="I3" s="20">
        <v>814647</v>
      </c>
      <c r="J3" s="20">
        <v>867457</v>
      </c>
      <c r="K3" s="20">
        <v>2926192</v>
      </c>
      <c r="L3" s="20">
        <v>1110</v>
      </c>
      <c r="M3" s="21">
        <f t="shared" ref="M3" si="0">10573+((10698-10573)/10)*(L3-1100)</f>
        <v>10698</v>
      </c>
      <c r="N3" s="20">
        <v>910</v>
      </c>
      <c r="O3" s="21">
        <f t="shared" ref="O3:O9" si="1">7983+((8104-7983)/10)*(N3-890)</f>
        <v>8225</v>
      </c>
      <c r="P3" s="20">
        <v>2250</v>
      </c>
      <c r="Q3" s="21">
        <f t="shared" ref="Q3" si="2">35793+((35972-35793)/10)*(P3-2240)</f>
        <v>35972</v>
      </c>
      <c r="R3" s="21">
        <v>2332</v>
      </c>
      <c r="S3">
        <f>289+((338-242)/10)*(R3-90)</f>
        <v>21812.2</v>
      </c>
      <c r="T3">
        <v>260</v>
      </c>
      <c r="U3" s="21">
        <f>1386+((1464-1386)/10)*(T3-260)</f>
        <v>1386</v>
      </c>
      <c r="V3" s="14">
        <v>0</v>
      </c>
      <c r="W3" s="14">
        <v>0</v>
      </c>
      <c r="X3" s="14">
        <v>0</v>
      </c>
      <c r="Y3" s="14">
        <v>0</v>
      </c>
      <c r="AE3" s="14">
        <f>M3+O3</f>
        <v>18923</v>
      </c>
      <c r="AF3" s="18">
        <f>Q3</f>
        <v>35972</v>
      </c>
      <c r="AG3" s="18">
        <f>S3</f>
        <v>21812.2</v>
      </c>
      <c r="AH3" s="18">
        <f>U3</f>
        <v>1386</v>
      </c>
      <c r="AI3" s="12">
        <f t="shared" ref="AI3" si="3">M3+O3-AE3</f>
        <v>0</v>
      </c>
      <c r="AJ3" s="15">
        <v>0</v>
      </c>
      <c r="AK3" s="12">
        <f t="shared" ref="AK3" si="4">Q3-AF3</f>
        <v>0</v>
      </c>
      <c r="AL3" s="15">
        <v>0</v>
      </c>
      <c r="AM3" s="12">
        <f t="shared" ref="AM3" si="5">S3-AG3</f>
        <v>0</v>
      </c>
      <c r="AN3" s="15">
        <v>0</v>
      </c>
      <c r="AO3" s="12">
        <f t="shared" ref="AO3" si="6">U3-AH3</f>
        <v>0</v>
      </c>
      <c r="AP3" s="15">
        <v>0</v>
      </c>
      <c r="AQ3" s="16">
        <f t="shared" ref="AQ3:AQ9" si="7">AK3+AM3</f>
        <v>0</v>
      </c>
    </row>
    <row r="4" spans="1:43" ht="15.6" x14ac:dyDescent="0.3">
      <c r="A4" s="17">
        <v>46083</v>
      </c>
      <c r="B4" s="21">
        <v>6783225</v>
      </c>
      <c r="C4" s="21">
        <v>7101286</v>
      </c>
      <c r="D4" s="21">
        <v>26960</v>
      </c>
      <c r="E4" s="21">
        <v>102229</v>
      </c>
      <c r="F4" s="21">
        <v>3785584</v>
      </c>
      <c r="G4" s="21">
        <v>69405</v>
      </c>
      <c r="H4" s="20">
        <v>7958891</v>
      </c>
      <c r="I4" s="20">
        <v>816980</v>
      </c>
      <c r="J4" s="20">
        <v>869056</v>
      </c>
      <c r="K4" s="20">
        <v>2928179</v>
      </c>
      <c r="L4" s="20">
        <v>700</v>
      </c>
      <c r="M4" s="21">
        <f t="shared" ref="M4" si="8">5742+((5856-5742)/10)*(L4-700)</f>
        <v>5742</v>
      </c>
      <c r="N4" s="20">
        <v>900</v>
      </c>
      <c r="O4" s="21">
        <f t="shared" si="1"/>
        <v>8104</v>
      </c>
      <c r="P4" s="20">
        <v>2150</v>
      </c>
      <c r="Q4" s="21">
        <f t="shared" ref="Q4" si="9">33974+((34158-33974)/10)*(P4-2140)</f>
        <v>34158</v>
      </c>
      <c r="R4" s="21">
        <v>2500</v>
      </c>
      <c r="S4">
        <f>289+((338-242)/10)*(R4-90)</f>
        <v>23425</v>
      </c>
      <c r="T4">
        <v>260</v>
      </c>
      <c r="U4" s="21">
        <f>1386+((1464-1386)/10)*(T4-260)</f>
        <v>1386</v>
      </c>
      <c r="V4" s="14">
        <f>(B4-B3)+(C4-C3)</f>
        <v>5021</v>
      </c>
      <c r="W4" s="14">
        <f t="shared" ref="W4:W9" si="10">D4+E4+H4+I4-D3-E3-H3-I3</f>
        <v>6054</v>
      </c>
      <c r="X4" s="14">
        <f t="shared" ref="X4:X9" si="11">J4+K4+G4-J3-K3-G3</f>
        <v>3586</v>
      </c>
      <c r="Y4" s="14">
        <f>F4-F3</f>
        <v>1420</v>
      </c>
      <c r="AC4" s="19">
        <v>9438</v>
      </c>
      <c r="AD4" s="19">
        <v>1400</v>
      </c>
      <c r="AE4" s="14">
        <f>AE3+Z4+AA4-V4</f>
        <v>13902</v>
      </c>
      <c r="AF4" s="18">
        <f>AF3+AB4-W4</f>
        <v>29918</v>
      </c>
      <c r="AG4" s="18">
        <f>AG3+AC4-X4</f>
        <v>27664.2</v>
      </c>
      <c r="AH4" s="18">
        <f>AH3+AD4-Y4</f>
        <v>1366</v>
      </c>
      <c r="AI4" s="12">
        <f>M4+O4-AE4</f>
        <v>-56</v>
      </c>
      <c r="AJ4" s="15">
        <f>AI4-AI3</f>
        <v>-56</v>
      </c>
      <c r="AK4" s="12">
        <f>Q4-AF4</f>
        <v>4240</v>
      </c>
      <c r="AL4" s="15">
        <f t="shared" ref="AL4:AL9" si="12">AK4-AK3</f>
        <v>4240</v>
      </c>
      <c r="AM4" s="12">
        <f>S4-AG4</f>
        <v>-4239.2000000000007</v>
      </c>
      <c r="AN4" s="15">
        <f>AM4-AM3</f>
        <v>-4239.2000000000007</v>
      </c>
      <c r="AO4" s="12">
        <f>U4-AH4</f>
        <v>20</v>
      </c>
      <c r="AP4" s="15">
        <f t="shared" ref="AP4:AP9" si="13">AO4-AO3</f>
        <v>20</v>
      </c>
      <c r="AQ4" s="16">
        <f t="shared" si="7"/>
        <v>0.7999999999992724</v>
      </c>
    </row>
    <row r="5" spans="1:43" ht="15.6" x14ac:dyDescent="0.3">
      <c r="A5" s="17">
        <v>46084</v>
      </c>
      <c r="B5" s="21">
        <v>6783637</v>
      </c>
      <c r="C5" s="21">
        <v>7102736</v>
      </c>
      <c r="D5" s="21">
        <v>27935</v>
      </c>
      <c r="E5" s="21">
        <v>102760</v>
      </c>
      <c r="F5" s="21">
        <v>3786442</v>
      </c>
      <c r="G5" s="21">
        <v>69405</v>
      </c>
      <c r="H5" s="20">
        <v>7959976</v>
      </c>
      <c r="I5" s="20">
        <v>818451</v>
      </c>
      <c r="J5" s="20">
        <v>870057</v>
      </c>
      <c r="K5" s="20">
        <v>2929320</v>
      </c>
      <c r="L5" s="20">
        <v>518</v>
      </c>
      <c r="M5" s="21">
        <f t="shared" ref="M5:M6" si="14">3675+((3778-3675)/10)*(L5-510)</f>
        <v>3757.4</v>
      </c>
      <c r="N5" s="20">
        <v>900</v>
      </c>
      <c r="O5" s="21">
        <f t="shared" si="1"/>
        <v>8104</v>
      </c>
      <c r="P5" s="20">
        <v>1824</v>
      </c>
      <c r="Q5" s="21">
        <f t="shared" ref="Q5:Q6" si="15">27966+((28157-27966)/10)*(P5-1820)</f>
        <v>28042.400000000001</v>
      </c>
      <c r="R5" s="21">
        <v>2500</v>
      </c>
      <c r="S5" s="21">
        <f t="shared" ref="S5:S8" si="16">23332+((23368-23332)/10)*(R5-2330)</f>
        <v>23944</v>
      </c>
      <c r="T5" s="21">
        <v>420</v>
      </c>
      <c r="U5" s="21">
        <f t="shared" ref="U5" si="17">2687+((2782-2687)/10)*(T5-410)</f>
        <v>2782</v>
      </c>
      <c r="V5" s="14">
        <f t="shared" ref="V5:V9" si="18">(B5-B4)+(C5-C4)</f>
        <v>1862</v>
      </c>
      <c r="W5" s="14">
        <f t="shared" si="10"/>
        <v>4062</v>
      </c>
      <c r="X5" s="14">
        <f t="shared" si="11"/>
        <v>2142</v>
      </c>
      <c r="Y5" s="14">
        <f t="shared" ref="Y5:Y9" si="19">F5-F4</f>
        <v>858</v>
      </c>
      <c r="AA5">
        <v>8000</v>
      </c>
      <c r="AE5" s="14">
        <f t="shared" ref="AE5:AE9" si="20">AE4+Z5+AA5-V5</f>
        <v>20040</v>
      </c>
      <c r="AF5" s="18">
        <f t="shared" ref="AF5:AF9" si="21">AF4+AB5-W5</f>
        <v>25856</v>
      </c>
      <c r="AG5" s="18">
        <f t="shared" ref="AG5:AG9" si="22">AG4+AC5-X5</f>
        <v>25522.2</v>
      </c>
      <c r="AH5" s="18">
        <f t="shared" ref="AH5:AH9" si="23">AH4+AD5-Y5</f>
        <v>508</v>
      </c>
      <c r="AI5" s="12">
        <f t="shared" ref="AI5:AI9" si="24">M5+O5-AE5</f>
        <v>-8178.6</v>
      </c>
      <c r="AJ5" s="15">
        <f t="shared" ref="AJ5:AJ9" si="25">AI5-AI4</f>
        <v>-8122.6</v>
      </c>
      <c r="AK5" s="12">
        <f t="shared" ref="AK5:AK9" si="26">Q5-AF5</f>
        <v>2186.4000000000015</v>
      </c>
      <c r="AL5" s="15">
        <f t="shared" si="12"/>
        <v>-2053.5999999999985</v>
      </c>
      <c r="AM5" s="12">
        <f t="shared" ref="AM5:AM9" si="27">S5-AG5</f>
        <v>-1578.2000000000007</v>
      </c>
      <c r="AN5" s="15">
        <f t="shared" ref="AN5:AN9" si="28">AM5-AM4</f>
        <v>2661</v>
      </c>
      <c r="AO5" s="12">
        <f t="shared" ref="AO5:AO9" si="29">U5-AH5</f>
        <v>2274</v>
      </c>
      <c r="AP5" s="15">
        <f t="shared" si="13"/>
        <v>2254</v>
      </c>
      <c r="AQ5" s="16">
        <f t="shared" si="7"/>
        <v>608.20000000000073</v>
      </c>
    </row>
    <row r="6" spans="1:43" ht="15.6" x14ac:dyDescent="0.3">
      <c r="A6" s="17">
        <v>46085</v>
      </c>
      <c r="B6" s="21">
        <v>6783637</v>
      </c>
      <c r="C6" s="21">
        <v>7102736</v>
      </c>
      <c r="D6" s="21">
        <v>27935</v>
      </c>
      <c r="E6" s="21">
        <v>102760</v>
      </c>
      <c r="F6" s="21">
        <v>3786565</v>
      </c>
      <c r="G6" s="21">
        <v>69405</v>
      </c>
      <c r="H6" s="20">
        <v>7959976</v>
      </c>
      <c r="I6" s="20">
        <v>818451</v>
      </c>
      <c r="J6" s="20">
        <v>870057</v>
      </c>
      <c r="K6" s="20">
        <v>2929320</v>
      </c>
      <c r="L6" s="20">
        <v>518</v>
      </c>
      <c r="M6" s="21">
        <f t="shared" si="14"/>
        <v>3757.4</v>
      </c>
      <c r="N6" s="20">
        <v>910</v>
      </c>
      <c r="O6" s="21">
        <f t="shared" si="1"/>
        <v>8225</v>
      </c>
      <c r="P6" s="20">
        <v>1824</v>
      </c>
      <c r="Q6" s="21">
        <f t="shared" si="15"/>
        <v>28042.400000000001</v>
      </c>
      <c r="R6" s="21">
        <v>2500</v>
      </c>
      <c r="S6" s="21">
        <f t="shared" si="16"/>
        <v>23944</v>
      </c>
      <c r="T6">
        <v>260</v>
      </c>
      <c r="U6" s="21">
        <f t="shared" ref="U6" si="30">1330+((1386-1330)/10)*(T6-250)</f>
        <v>1386</v>
      </c>
      <c r="V6" s="14">
        <f t="shared" si="18"/>
        <v>0</v>
      </c>
      <c r="W6" s="14">
        <f t="shared" si="10"/>
        <v>0</v>
      </c>
      <c r="X6" s="14">
        <f t="shared" si="11"/>
        <v>0</v>
      </c>
      <c r="Y6" s="14">
        <f t="shared" si="19"/>
        <v>123</v>
      </c>
      <c r="AE6" s="14">
        <f t="shared" si="20"/>
        <v>20040</v>
      </c>
      <c r="AF6" s="18">
        <f t="shared" si="21"/>
        <v>25856</v>
      </c>
      <c r="AG6" s="18">
        <f t="shared" si="22"/>
        <v>25522.2</v>
      </c>
      <c r="AH6" s="18">
        <f t="shared" si="23"/>
        <v>385</v>
      </c>
      <c r="AI6" s="12">
        <f t="shared" si="24"/>
        <v>-8057.6</v>
      </c>
      <c r="AJ6" s="15">
        <f t="shared" si="25"/>
        <v>121</v>
      </c>
      <c r="AK6" s="12">
        <f t="shared" si="26"/>
        <v>2186.4000000000015</v>
      </c>
      <c r="AL6" s="15">
        <f t="shared" si="12"/>
        <v>0</v>
      </c>
      <c r="AM6" s="12">
        <f t="shared" si="27"/>
        <v>-1578.2000000000007</v>
      </c>
      <c r="AN6" s="15">
        <f t="shared" si="28"/>
        <v>0</v>
      </c>
      <c r="AO6" s="12">
        <f t="shared" si="29"/>
        <v>1001</v>
      </c>
      <c r="AP6" s="15">
        <f t="shared" si="13"/>
        <v>-1273</v>
      </c>
      <c r="AQ6" s="16">
        <f t="shared" si="7"/>
        <v>608.20000000000073</v>
      </c>
    </row>
    <row r="7" spans="1:43" ht="15.6" x14ac:dyDescent="0.3">
      <c r="A7" s="17">
        <v>46085</v>
      </c>
      <c r="B7" s="21">
        <v>6784817</v>
      </c>
      <c r="C7" s="21">
        <v>7105485</v>
      </c>
      <c r="D7" s="21">
        <v>29375</v>
      </c>
      <c r="E7" s="21">
        <v>103387</v>
      </c>
      <c r="F7" s="21">
        <v>3786806</v>
      </c>
      <c r="G7" s="21">
        <v>69405</v>
      </c>
      <c r="H7" s="20">
        <v>7961893</v>
      </c>
      <c r="I7" s="20">
        <v>820765</v>
      </c>
      <c r="J7" s="20">
        <v>871783</v>
      </c>
      <c r="K7" s="20">
        <v>2932172</v>
      </c>
      <c r="L7" s="20">
        <v>880</v>
      </c>
      <c r="M7" s="21">
        <f>7741+((7862-7741)/10)*(L7-870)</f>
        <v>7862</v>
      </c>
      <c r="N7" s="20">
        <v>900</v>
      </c>
      <c r="O7" s="21">
        <f t="shared" si="1"/>
        <v>8104</v>
      </c>
      <c r="P7" s="20">
        <v>2120</v>
      </c>
      <c r="Q7" s="21">
        <f t="shared" ref="Q7" si="31">33606+((33790-33606)/10)*(P7-2120)</f>
        <v>33606</v>
      </c>
      <c r="R7" s="21">
        <v>2340</v>
      </c>
      <c r="S7" s="21">
        <f t="shared" si="16"/>
        <v>23368</v>
      </c>
      <c r="T7" s="21">
        <v>260</v>
      </c>
      <c r="U7" s="21">
        <f t="shared" ref="U7" si="32">1330+((1386-1330)/10)*(T7-250)</f>
        <v>1386</v>
      </c>
      <c r="V7" s="14">
        <f t="shared" si="18"/>
        <v>3929</v>
      </c>
      <c r="W7" s="14">
        <f t="shared" si="10"/>
        <v>6298</v>
      </c>
      <c r="X7" s="14">
        <f t="shared" si="11"/>
        <v>4578</v>
      </c>
      <c r="Y7" s="14">
        <f t="shared" si="19"/>
        <v>241</v>
      </c>
      <c r="AB7">
        <v>17000</v>
      </c>
      <c r="AD7">
        <v>5000</v>
      </c>
      <c r="AE7" s="14">
        <f t="shared" si="20"/>
        <v>16111</v>
      </c>
      <c r="AF7" s="18">
        <f t="shared" si="21"/>
        <v>36558</v>
      </c>
      <c r="AG7" s="18">
        <f t="shared" si="22"/>
        <v>20944.2</v>
      </c>
      <c r="AH7" s="18">
        <f t="shared" si="23"/>
        <v>5144</v>
      </c>
      <c r="AI7" s="12">
        <f t="shared" si="24"/>
        <v>-145</v>
      </c>
      <c r="AJ7" s="15">
        <f t="shared" si="25"/>
        <v>7912.6</v>
      </c>
      <c r="AK7" s="12">
        <f t="shared" si="26"/>
        <v>-2952</v>
      </c>
      <c r="AL7" s="15">
        <f t="shared" si="12"/>
        <v>-5138.4000000000015</v>
      </c>
      <c r="AM7" s="12">
        <f t="shared" si="27"/>
        <v>2423.7999999999993</v>
      </c>
      <c r="AN7" s="15">
        <f t="shared" si="28"/>
        <v>4002</v>
      </c>
      <c r="AO7" s="12">
        <f t="shared" si="29"/>
        <v>-3758</v>
      </c>
      <c r="AP7" s="15">
        <f t="shared" si="13"/>
        <v>-4759</v>
      </c>
      <c r="AQ7" s="16">
        <f t="shared" si="7"/>
        <v>-528.20000000000073</v>
      </c>
    </row>
    <row r="8" spans="1:43" ht="15.6" x14ac:dyDescent="0.3">
      <c r="A8" s="17">
        <v>46086</v>
      </c>
      <c r="B8" s="21">
        <v>6786368</v>
      </c>
      <c r="C8" s="21">
        <v>7108618</v>
      </c>
      <c r="D8" s="21">
        <v>30943</v>
      </c>
      <c r="E8" s="21">
        <v>104133</v>
      </c>
      <c r="F8" s="21">
        <v>3788220</v>
      </c>
      <c r="G8" s="21">
        <v>69405</v>
      </c>
      <c r="H8" s="20">
        <v>7963553</v>
      </c>
      <c r="I8" s="20">
        <v>823205</v>
      </c>
      <c r="J8" s="20">
        <v>873489</v>
      </c>
      <c r="K8" s="20">
        <v>2934328</v>
      </c>
      <c r="L8" s="20">
        <v>480</v>
      </c>
      <c r="M8" s="21">
        <f>3270+((3370-3270)/10)*(L8-470)</f>
        <v>3370</v>
      </c>
      <c r="N8" s="20">
        <v>910</v>
      </c>
      <c r="O8" s="21">
        <f t="shared" si="1"/>
        <v>8225</v>
      </c>
      <c r="P8" s="20">
        <v>1600</v>
      </c>
      <c r="Q8" s="21">
        <f t="shared" ref="Q8" si="33">23790+((23790-23569)/10)*(P8-1590)</f>
        <v>24011</v>
      </c>
      <c r="R8" s="21">
        <v>2340</v>
      </c>
      <c r="S8" s="21">
        <f t="shared" si="16"/>
        <v>23368</v>
      </c>
      <c r="T8">
        <v>130</v>
      </c>
      <c r="U8" s="21">
        <f t="shared" ref="U8" si="34">498+((557-498)/10)*(T8-130)</f>
        <v>498</v>
      </c>
      <c r="V8" s="14">
        <f t="shared" si="18"/>
        <v>4684</v>
      </c>
      <c r="W8" s="14">
        <f t="shared" si="10"/>
        <v>6414</v>
      </c>
      <c r="X8" s="14">
        <f t="shared" si="11"/>
        <v>3862</v>
      </c>
      <c r="Y8" s="14">
        <f t="shared" si="19"/>
        <v>1414</v>
      </c>
      <c r="AE8" s="14">
        <f t="shared" si="20"/>
        <v>11427</v>
      </c>
      <c r="AF8" s="18">
        <f t="shared" si="21"/>
        <v>30144</v>
      </c>
      <c r="AG8" s="18">
        <f t="shared" si="22"/>
        <v>17082.2</v>
      </c>
      <c r="AH8" s="18">
        <f t="shared" si="23"/>
        <v>3730</v>
      </c>
      <c r="AI8" s="12">
        <f t="shared" si="24"/>
        <v>168</v>
      </c>
      <c r="AJ8" s="15">
        <f t="shared" si="25"/>
        <v>313</v>
      </c>
      <c r="AK8" s="12">
        <f t="shared" si="26"/>
        <v>-6133</v>
      </c>
      <c r="AL8" s="15">
        <f t="shared" si="12"/>
        <v>-3181</v>
      </c>
      <c r="AM8" s="12">
        <f t="shared" si="27"/>
        <v>6285.7999999999993</v>
      </c>
      <c r="AN8" s="15">
        <f t="shared" si="28"/>
        <v>3862</v>
      </c>
      <c r="AO8" s="12">
        <f t="shared" si="29"/>
        <v>-3232</v>
      </c>
      <c r="AP8" s="15">
        <f t="shared" si="13"/>
        <v>526</v>
      </c>
      <c r="AQ8" s="16">
        <f t="shared" si="7"/>
        <v>152.79999999999927</v>
      </c>
    </row>
    <row r="9" spans="1:43" ht="15.6" x14ac:dyDescent="0.3">
      <c r="A9" s="17">
        <v>46087</v>
      </c>
      <c r="B9" s="21">
        <v>6787118</v>
      </c>
      <c r="C9" s="21">
        <v>7110836</v>
      </c>
      <c r="D9" s="21">
        <v>35444</v>
      </c>
      <c r="E9" s="21">
        <v>107706</v>
      </c>
      <c r="F9" s="21">
        <v>3789797</v>
      </c>
      <c r="G9" s="21">
        <v>69405</v>
      </c>
      <c r="H9" s="20">
        <v>7965092</v>
      </c>
      <c r="I9" s="22">
        <v>828394</v>
      </c>
      <c r="J9" s="20">
        <v>875396</v>
      </c>
      <c r="K9" s="20">
        <v>2936240</v>
      </c>
      <c r="L9" s="20">
        <v>80</v>
      </c>
      <c r="M9" s="21">
        <f>198+((242-198)/10)*(L9-70)</f>
        <v>242</v>
      </c>
      <c r="N9" s="20">
        <v>900</v>
      </c>
      <c r="O9" s="21">
        <f t="shared" si="1"/>
        <v>8104</v>
      </c>
      <c r="P9" s="20">
        <v>992</v>
      </c>
      <c r="Q9" s="21">
        <f t="shared" ref="Q9" si="35">12455+((12630-12455)/10)*(P9-990)</f>
        <v>12490</v>
      </c>
      <c r="R9" s="21">
        <v>2340</v>
      </c>
      <c r="S9" s="21">
        <f t="shared" ref="S9" si="36">23332+((23368-23332)/10)*(R9-2330)</f>
        <v>23368</v>
      </c>
      <c r="T9">
        <v>650</v>
      </c>
      <c r="U9" s="21">
        <f t="shared" ref="U9" si="37">5178+((5290-5178)/10)*(T9-650)</f>
        <v>5178</v>
      </c>
      <c r="V9" s="14">
        <f t="shared" si="18"/>
        <v>2968</v>
      </c>
      <c r="W9" s="14">
        <f t="shared" si="10"/>
        <v>14802</v>
      </c>
      <c r="X9" s="14">
        <f t="shared" si="11"/>
        <v>3819</v>
      </c>
      <c r="Y9" s="14">
        <f t="shared" si="19"/>
        <v>1577</v>
      </c>
      <c r="AB9">
        <v>8000</v>
      </c>
      <c r="AE9" s="14">
        <f t="shared" si="20"/>
        <v>8459</v>
      </c>
      <c r="AF9" s="18">
        <f t="shared" si="21"/>
        <v>23342</v>
      </c>
      <c r="AG9" s="18">
        <f t="shared" si="22"/>
        <v>13263.2</v>
      </c>
      <c r="AH9" s="18">
        <f t="shared" si="23"/>
        <v>2153</v>
      </c>
      <c r="AI9" s="12">
        <f t="shared" si="24"/>
        <v>-113</v>
      </c>
      <c r="AJ9" s="15">
        <f t="shared" si="25"/>
        <v>-281</v>
      </c>
      <c r="AK9" s="12">
        <f t="shared" si="26"/>
        <v>-10852</v>
      </c>
      <c r="AL9" s="15">
        <f t="shared" si="12"/>
        <v>-4719</v>
      </c>
      <c r="AM9" s="12">
        <f t="shared" si="27"/>
        <v>10104.799999999999</v>
      </c>
      <c r="AN9" s="15">
        <f t="shared" si="28"/>
        <v>3819</v>
      </c>
      <c r="AO9" s="12">
        <f t="shared" si="29"/>
        <v>3025</v>
      </c>
      <c r="AP9" s="15">
        <f t="shared" si="13"/>
        <v>6257</v>
      </c>
      <c r="AQ9" s="16">
        <f t="shared" si="7"/>
        <v>-747.20000000000073</v>
      </c>
    </row>
    <row r="10" spans="1:43" ht="15.6" x14ac:dyDescent="0.3">
      <c r="A10" s="17"/>
      <c r="B10" s="21"/>
      <c r="C10" s="21"/>
      <c r="D10" s="21"/>
      <c r="E10" s="21"/>
      <c r="F10" s="21"/>
      <c r="G10" s="21"/>
      <c r="H10" s="20"/>
      <c r="I10" s="22"/>
      <c r="J10" s="20"/>
      <c r="K10" s="20"/>
      <c r="L10" s="20"/>
      <c r="M10" s="21"/>
      <c r="N10" s="20"/>
      <c r="O10" s="21"/>
      <c r="P10" s="20"/>
      <c r="Q10" s="21"/>
      <c r="R10" s="21"/>
      <c r="S10" s="21"/>
      <c r="U10" s="21"/>
      <c r="V10" s="14"/>
      <c r="W10" s="14"/>
      <c r="X10" s="14"/>
      <c r="Y10" s="14"/>
      <c r="AE10" s="14"/>
      <c r="AF10" s="18"/>
      <c r="AG10" s="18"/>
      <c r="AH10" s="18"/>
    </row>
    <row r="11" spans="1:43" ht="15.6" x14ac:dyDescent="0.3">
      <c r="A11" s="17"/>
      <c r="B11" s="21"/>
      <c r="C11" s="21"/>
      <c r="D11" s="21"/>
      <c r="E11" s="21"/>
      <c r="F11" s="21"/>
      <c r="G11" s="21"/>
      <c r="H11" s="20"/>
      <c r="I11" s="20"/>
      <c r="J11" s="20"/>
      <c r="K11" s="20"/>
      <c r="L11" s="20"/>
      <c r="M11" s="21"/>
      <c r="N11" s="20"/>
      <c r="O11" s="21"/>
      <c r="P11" s="20"/>
      <c r="Q11" s="21"/>
      <c r="R11" s="21"/>
      <c r="S11" s="21"/>
      <c r="U11" s="21"/>
      <c r="V11" s="14"/>
      <c r="W11" s="14"/>
      <c r="X11" s="14"/>
      <c r="Y11" s="14"/>
      <c r="AE11" s="14"/>
      <c r="AF11" s="18"/>
      <c r="AG11" s="18"/>
      <c r="AH11" s="18"/>
    </row>
    <row r="12" spans="1:43" ht="15.6" x14ac:dyDescent="0.3">
      <c r="A12" s="17"/>
      <c r="B12" s="21"/>
      <c r="C12" s="21"/>
      <c r="D12" s="21"/>
      <c r="E12" s="21"/>
      <c r="F12" s="21"/>
      <c r="G12" s="21"/>
      <c r="H12" s="20"/>
      <c r="I12" s="20"/>
      <c r="J12" s="20"/>
      <c r="K12" s="20"/>
      <c r="L12" s="20"/>
      <c r="M12" s="21"/>
      <c r="N12" s="20"/>
      <c r="O12" s="21"/>
      <c r="P12" s="20"/>
      <c r="Q12" s="21"/>
      <c r="R12" s="21"/>
      <c r="S12" s="21"/>
      <c r="U12" s="21"/>
      <c r="V12" s="14"/>
      <c r="W12" s="14"/>
      <c r="X12" s="14"/>
      <c r="Y12" s="14"/>
      <c r="AE12" s="14"/>
      <c r="AF12" s="18"/>
      <c r="AG12" s="18"/>
      <c r="AH12" s="18"/>
    </row>
    <row r="13" spans="1:43" ht="15.6" x14ac:dyDescent="0.3">
      <c r="A13" s="17"/>
      <c r="B13" s="21"/>
      <c r="C13" s="21"/>
      <c r="D13" s="21"/>
      <c r="E13" s="21"/>
      <c r="F13" s="21"/>
      <c r="G13" s="21"/>
      <c r="H13" s="20"/>
      <c r="I13" s="20"/>
      <c r="J13" s="20"/>
      <c r="K13" s="20"/>
      <c r="L13" s="20"/>
      <c r="M13" s="21"/>
      <c r="N13" s="20"/>
      <c r="O13" s="21"/>
      <c r="P13" s="20"/>
      <c r="Q13" s="21"/>
      <c r="R13" s="21"/>
      <c r="S13" s="21"/>
      <c r="T13" s="21"/>
      <c r="U13" s="21"/>
      <c r="V13" s="14"/>
      <c r="W13" s="14"/>
      <c r="X13" s="14"/>
      <c r="Y13" s="14"/>
      <c r="AE13" s="14"/>
      <c r="AF13" s="18"/>
      <c r="AG13" s="18"/>
      <c r="AH13" s="18"/>
    </row>
    <row r="14" spans="1:43" ht="15.6" x14ac:dyDescent="0.3">
      <c r="A14" s="17"/>
      <c r="B14" s="21"/>
      <c r="C14" s="21"/>
      <c r="D14" s="21"/>
      <c r="E14" s="21"/>
      <c r="F14" s="21"/>
      <c r="G14" s="21"/>
      <c r="H14" s="20"/>
      <c r="I14" s="20"/>
      <c r="J14" s="20"/>
      <c r="K14" s="20"/>
      <c r="L14" s="20"/>
      <c r="M14" s="21"/>
      <c r="N14" s="20"/>
      <c r="O14" s="1"/>
      <c r="P14" s="20"/>
      <c r="Q14" s="21"/>
      <c r="R14" s="21"/>
      <c r="S14" s="21"/>
      <c r="T14" s="21"/>
      <c r="U14" s="21"/>
      <c r="V14" s="14"/>
      <c r="W14" s="14"/>
      <c r="X14" s="14"/>
      <c r="Y14" s="14"/>
      <c r="AE14" s="14"/>
      <c r="AF14" s="18"/>
      <c r="AG14" s="18"/>
      <c r="AH14" s="18"/>
    </row>
    <row r="15" spans="1:43" ht="15.6" x14ac:dyDescent="0.3">
      <c r="A15" s="17"/>
      <c r="B15" s="21"/>
      <c r="C15" s="21"/>
      <c r="D15" s="21"/>
      <c r="E15" s="21"/>
      <c r="F15" s="21"/>
      <c r="G15" s="21"/>
      <c r="H15" s="20"/>
      <c r="I15" s="20"/>
      <c r="J15" s="20"/>
      <c r="K15" s="20"/>
      <c r="L15" s="20"/>
      <c r="M15" s="21"/>
      <c r="N15" s="20"/>
      <c r="O15" s="1"/>
      <c r="P15" s="20"/>
      <c r="Q15" s="21"/>
      <c r="R15" s="21"/>
      <c r="S15" s="21"/>
      <c r="T15" s="21"/>
      <c r="U15" s="21"/>
      <c r="V15" s="14"/>
      <c r="W15" s="14"/>
      <c r="X15" s="14"/>
      <c r="Y15" s="14"/>
      <c r="AE15" s="14"/>
      <c r="AF15" s="18"/>
      <c r="AG15" s="18"/>
      <c r="AH15" s="18"/>
    </row>
    <row r="16" spans="1:43" ht="15.6" x14ac:dyDescent="0.3">
      <c r="A16" s="17"/>
      <c r="D16" s="21"/>
      <c r="E16" s="21"/>
      <c r="H16" s="20"/>
      <c r="I16" s="20"/>
      <c r="J16" s="20"/>
      <c r="K16" s="20"/>
      <c r="L16" s="20"/>
      <c r="M16" s="21"/>
      <c r="N16" s="20"/>
      <c r="O16" s="1"/>
      <c r="P16" s="20"/>
      <c r="Q16" s="21"/>
      <c r="S16" s="21"/>
      <c r="T16" s="21"/>
      <c r="U16" s="21"/>
      <c r="V16" s="14"/>
      <c r="W16" s="14"/>
      <c r="X16" s="14"/>
      <c r="Y16" s="14"/>
      <c r="AE16" s="14"/>
      <c r="AF16" s="18"/>
      <c r="AG16" s="18"/>
      <c r="AH16" s="18"/>
    </row>
    <row r="17" spans="1:34" ht="15.6" x14ac:dyDescent="0.3">
      <c r="A17" s="17"/>
      <c r="B17" s="21"/>
      <c r="C17" s="21"/>
      <c r="D17" s="21"/>
      <c r="E17" s="21"/>
      <c r="F17" s="21"/>
      <c r="G17" s="21"/>
      <c r="H17" s="20"/>
      <c r="I17" s="20"/>
      <c r="J17" s="20"/>
      <c r="K17" s="20"/>
      <c r="L17" s="20"/>
      <c r="M17" s="21"/>
      <c r="N17" s="20"/>
      <c r="O17" s="1"/>
      <c r="P17" s="20"/>
      <c r="Q17" s="21"/>
      <c r="R17" s="21"/>
      <c r="S17" s="21"/>
      <c r="T17" s="21"/>
      <c r="U17" s="21"/>
      <c r="V17" s="14"/>
      <c r="W17" s="14"/>
      <c r="X17" s="14"/>
      <c r="Y17" s="14"/>
      <c r="AE17" s="14"/>
      <c r="AF17" s="18"/>
      <c r="AG17" s="18"/>
      <c r="AH17" s="18"/>
    </row>
    <row r="18" spans="1:34" ht="15.6" x14ac:dyDescent="0.3">
      <c r="A18" s="17"/>
      <c r="H18" s="20"/>
      <c r="I18" s="20"/>
      <c r="J18" s="20"/>
      <c r="K18" s="20"/>
      <c r="L18" s="20"/>
      <c r="M18" s="21"/>
      <c r="N18" s="20"/>
      <c r="O18" s="1"/>
      <c r="P18" s="20"/>
      <c r="Q18" s="21"/>
      <c r="S18" s="21"/>
      <c r="U18" s="21"/>
      <c r="V18" s="14"/>
      <c r="W18" s="14"/>
      <c r="X18" s="14"/>
      <c r="Y18" s="14"/>
      <c r="AE18" s="14"/>
      <c r="AF18" s="18"/>
      <c r="AG18" s="18"/>
      <c r="AH18" s="18"/>
    </row>
    <row r="19" spans="1:34" ht="15.6" x14ac:dyDescent="0.3">
      <c r="A19" s="17"/>
      <c r="H19" s="20"/>
      <c r="I19" s="20"/>
      <c r="J19" s="20"/>
      <c r="K19" s="20"/>
      <c r="L19" s="20"/>
      <c r="M19" s="21"/>
      <c r="N19" s="20"/>
      <c r="O19" s="1"/>
      <c r="P19" s="20"/>
      <c r="Q19" s="21"/>
      <c r="S19" s="21"/>
      <c r="U19" s="21"/>
      <c r="V19" s="14"/>
      <c r="W19" s="14"/>
      <c r="X19" s="14"/>
      <c r="Y19" s="14"/>
      <c r="AC19" s="19"/>
      <c r="AE19" s="14"/>
      <c r="AF19" s="18"/>
      <c r="AG19" s="18"/>
      <c r="AH19" s="18"/>
    </row>
    <row r="20" spans="1:34" ht="15.6" x14ac:dyDescent="0.3">
      <c r="A20" s="17"/>
      <c r="H20" s="20"/>
      <c r="I20" s="20"/>
      <c r="J20" s="20"/>
      <c r="K20" s="20"/>
      <c r="L20" s="20"/>
      <c r="M20" s="21"/>
      <c r="N20" s="20"/>
      <c r="O20" s="1"/>
      <c r="P20" s="20"/>
      <c r="Q20" s="21"/>
      <c r="S20" s="21"/>
      <c r="U20" s="21"/>
      <c r="V20" s="14"/>
      <c r="W20" s="14"/>
      <c r="X20" s="14"/>
      <c r="Y20" s="14"/>
      <c r="AE20" s="14"/>
      <c r="AF20" s="18"/>
      <c r="AG20" s="18"/>
      <c r="AH20" s="18"/>
    </row>
    <row r="21" spans="1:34" ht="15.6" x14ac:dyDescent="0.3">
      <c r="A21" s="17"/>
      <c r="G21" s="21"/>
      <c r="H21" s="20"/>
      <c r="I21" s="20"/>
      <c r="J21" s="20"/>
      <c r="K21" s="20"/>
      <c r="L21" s="20"/>
      <c r="M21" s="21"/>
      <c r="N21" s="20"/>
      <c r="O21" s="1"/>
      <c r="P21" s="20"/>
      <c r="Q21" s="21"/>
      <c r="S21" s="21"/>
      <c r="T21" s="21"/>
      <c r="U21" s="21"/>
      <c r="V21" s="14"/>
      <c r="W21" s="14"/>
      <c r="X21" s="14"/>
      <c r="Y21" s="14"/>
      <c r="AE21" s="14"/>
      <c r="AF21" s="18"/>
      <c r="AG21" s="18"/>
      <c r="AH21" s="18"/>
    </row>
    <row r="22" spans="1:34" ht="15.6" x14ac:dyDescent="0.3">
      <c r="A22" s="17"/>
      <c r="G22" s="21"/>
      <c r="H22" s="20"/>
      <c r="I22" s="20"/>
      <c r="J22" s="20"/>
      <c r="K22" s="20"/>
      <c r="L22" s="20"/>
      <c r="M22" s="21"/>
      <c r="N22" s="20"/>
      <c r="O22" s="1"/>
      <c r="P22" s="20"/>
      <c r="Q22" s="21"/>
      <c r="S22" s="21"/>
      <c r="U22" s="21"/>
      <c r="V22" s="14"/>
      <c r="W22" s="14"/>
      <c r="X22" s="14"/>
      <c r="Y22" s="14"/>
      <c r="AE22" s="14"/>
      <c r="AF22" s="18"/>
      <c r="AG22" s="18"/>
      <c r="AH22" s="18"/>
    </row>
    <row r="23" spans="1:34" ht="15.6" x14ac:dyDescent="0.3">
      <c r="A23" s="17"/>
      <c r="G23" s="21"/>
      <c r="H23" s="20"/>
      <c r="I23" s="20"/>
      <c r="J23" s="20"/>
      <c r="K23" s="20"/>
      <c r="L23" s="20"/>
      <c r="M23" s="21"/>
      <c r="N23" s="20"/>
      <c r="O23" s="1"/>
      <c r="P23" s="20"/>
      <c r="Q23" s="21"/>
      <c r="S23" s="21"/>
      <c r="U23" s="21"/>
      <c r="V23" s="14"/>
      <c r="W23" s="14"/>
      <c r="X23" s="14"/>
      <c r="Y23" s="14"/>
      <c r="AE23" s="14"/>
      <c r="AF23" s="18"/>
      <c r="AG23" s="18"/>
      <c r="AH23" s="18"/>
    </row>
    <row r="24" spans="1:34" ht="15.6" x14ac:dyDescent="0.3">
      <c r="A24" s="17"/>
      <c r="H24" s="20"/>
      <c r="I24" s="20"/>
      <c r="J24" s="20"/>
      <c r="K24" s="20"/>
      <c r="L24" s="20"/>
      <c r="M24" s="21"/>
      <c r="N24" s="20"/>
      <c r="O24" s="1"/>
      <c r="P24" s="20"/>
      <c r="Q24" s="21"/>
      <c r="S24" s="21"/>
      <c r="U24" s="21"/>
      <c r="V24" s="14"/>
      <c r="W24" s="14"/>
      <c r="X24" s="14"/>
      <c r="Y24" s="14"/>
      <c r="AE24" s="14"/>
      <c r="AF24" s="18"/>
      <c r="AG24" s="18"/>
      <c r="AH24" s="18"/>
    </row>
    <row r="25" spans="1:34" ht="15.6" x14ac:dyDescent="0.3">
      <c r="A25" s="17"/>
      <c r="H25" s="20"/>
      <c r="I25" s="20"/>
      <c r="J25" s="20"/>
      <c r="K25" s="20"/>
      <c r="L25" s="20"/>
      <c r="M25" s="21"/>
      <c r="N25" s="20"/>
      <c r="O25" s="1"/>
      <c r="P25" s="20"/>
      <c r="Q25" s="21"/>
      <c r="S25" s="21"/>
      <c r="U25" s="21"/>
      <c r="V25" s="14"/>
      <c r="W25" s="14"/>
      <c r="X25" s="14"/>
      <c r="Y25" s="14"/>
      <c r="AE25" s="14"/>
      <c r="AF25" s="18"/>
      <c r="AG25" s="18"/>
      <c r="AH25" s="18"/>
    </row>
    <row r="26" spans="1:34" ht="15.6" x14ac:dyDescent="0.3">
      <c r="A26" s="17"/>
      <c r="H26" s="20"/>
      <c r="I26" s="20"/>
      <c r="J26" s="20"/>
      <c r="K26" s="20"/>
      <c r="L26" s="20"/>
      <c r="M26" s="21"/>
      <c r="N26" s="20"/>
      <c r="O26" s="1"/>
      <c r="P26" s="20"/>
      <c r="Q26" s="21"/>
      <c r="R26" s="21"/>
      <c r="S26" s="21"/>
      <c r="T26" s="21"/>
      <c r="U26" s="21"/>
      <c r="V26" s="14"/>
      <c r="W26" s="14"/>
      <c r="X26" s="14"/>
      <c r="Y26" s="14"/>
      <c r="AE26" s="14"/>
      <c r="AF26" s="18"/>
      <c r="AG26" s="18"/>
      <c r="AH26" s="18"/>
    </row>
    <row r="27" spans="1:34" ht="15.6" x14ac:dyDescent="0.3">
      <c r="A27" s="17"/>
      <c r="H27" s="20"/>
      <c r="I27" s="20"/>
      <c r="J27" s="20"/>
      <c r="K27" s="20"/>
      <c r="L27" s="20"/>
      <c r="M27" s="21"/>
      <c r="N27" s="20"/>
      <c r="O27" s="1"/>
      <c r="P27" s="20"/>
      <c r="Q27" s="21"/>
      <c r="S27" s="21"/>
      <c r="U27" s="21"/>
      <c r="V27" s="14"/>
      <c r="W27" s="14"/>
      <c r="X27" s="14"/>
      <c r="Y27" s="14"/>
      <c r="AE27" s="14"/>
      <c r="AF27" s="18"/>
      <c r="AG27" s="18"/>
      <c r="AH27" s="18"/>
    </row>
    <row r="28" spans="1:34" ht="15.6" x14ac:dyDescent="0.3">
      <c r="A28" s="17"/>
      <c r="B28" s="21"/>
      <c r="C28" s="21"/>
      <c r="D28" s="21"/>
      <c r="E28" s="21"/>
      <c r="G28" s="21"/>
      <c r="H28" s="20"/>
      <c r="I28" s="20"/>
      <c r="J28" s="20"/>
      <c r="K28" s="20"/>
      <c r="L28" s="20"/>
      <c r="M28" s="21"/>
      <c r="N28" s="20"/>
      <c r="O28" s="1"/>
      <c r="P28" s="20"/>
      <c r="Q28" s="21"/>
      <c r="R28" s="21"/>
      <c r="S28" s="21"/>
      <c r="T28" s="21"/>
      <c r="U28" s="21"/>
      <c r="V28" s="14"/>
      <c r="W28" s="14"/>
      <c r="X28" s="14"/>
      <c r="Y28" s="14"/>
      <c r="AE28" s="14"/>
      <c r="AF28" s="18"/>
      <c r="AG28" s="18"/>
      <c r="AH28" s="18"/>
    </row>
    <row r="29" spans="1:34" ht="15.6" x14ac:dyDescent="0.3">
      <c r="A29" s="17"/>
      <c r="H29" s="20"/>
      <c r="I29" s="20"/>
      <c r="J29" s="20"/>
      <c r="K29" s="20"/>
      <c r="L29" s="20"/>
      <c r="M29" s="21"/>
      <c r="N29" s="20"/>
      <c r="O29" s="1"/>
      <c r="P29" s="20"/>
      <c r="Q29" s="21"/>
      <c r="S29" s="21"/>
      <c r="U29" s="21"/>
      <c r="V29" s="14"/>
      <c r="W29" s="14"/>
      <c r="X29" s="14"/>
      <c r="Y29" s="14"/>
      <c r="AE29" s="14"/>
      <c r="AF29" s="18"/>
      <c r="AG29" s="18"/>
      <c r="AH29" s="18"/>
    </row>
    <row r="30" spans="1:34" ht="15.6" x14ac:dyDescent="0.3">
      <c r="A30" s="17"/>
      <c r="H30" s="20"/>
      <c r="I30" s="20"/>
      <c r="J30" s="20"/>
      <c r="K30" s="20"/>
      <c r="L30" s="20"/>
      <c r="M30" s="21"/>
      <c r="N30" s="20"/>
      <c r="O30" s="1"/>
      <c r="P30" s="20"/>
      <c r="Q30" s="21"/>
      <c r="S30" s="21"/>
      <c r="U30" s="21"/>
      <c r="V30" s="14"/>
      <c r="W30" s="14"/>
      <c r="X30" s="14"/>
      <c r="Y30" s="14"/>
      <c r="AE30" s="14"/>
      <c r="AF30" s="18"/>
      <c r="AG30" s="18"/>
      <c r="AH30" s="18"/>
    </row>
    <row r="31" spans="1:34" ht="15.6" x14ac:dyDescent="0.3">
      <c r="A31" s="17"/>
      <c r="G31" s="21"/>
      <c r="H31" s="20"/>
      <c r="I31" s="20"/>
      <c r="J31" s="20"/>
      <c r="K31" s="20"/>
      <c r="L31" s="20"/>
      <c r="M31" s="21"/>
      <c r="N31" s="20"/>
      <c r="O31" s="1"/>
      <c r="P31" s="20"/>
      <c r="Q31" s="21"/>
      <c r="S31" s="21"/>
      <c r="U31" s="21"/>
      <c r="V31" s="14"/>
      <c r="W31" s="14"/>
      <c r="X31" s="14"/>
      <c r="Y31" s="14"/>
      <c r="AE31" s="14"/>
      <c r="AF31" s="18"/>
      <c r="AG31" s="18"/>
      <c r="AH31" s="18"/>
    </row>
    <row r="32" spans="1:34" ht="15.6" x14ac:dyDescent="0.3">
      <c r="A32" s="17"/>
      <c r="G32" s="21"/>
      <c r="H32" s="20"/>
      <c r="I32" s="20"/>
      <c r="J32" s="20"/>
      <c r="K32" s="20"/>
      <c r="L32" s="20"/>
      <c r="M32" s="21"/>
      <c r="N32" s="20"/>
      <c r="O32" s="1"/>
      <c r="P32" s="20"/>
      <c r="Q32" s="21"/>
      <c r="S32" s="21"/>
      <c r="U32" s="21"/>
      <c r="V32" s="14"/>
      <c r="W32" s="14"/>
      <c r="X32" s="14"/>
      <c r="Y32" s="14"/>
      <c r="AE32" s="14"/>
      <c r="AF32" s="18"/>
      <c r="AG32" s="18"/>
      <c r="AH32" s="18"/>
    </row>
    <row r="33" spans="1:34" ht="15.6" x14ac:dyDescent="0.3">
      <c r="A33" s="17"/>
      <c r="G33" s="21"/>
      <c r="H33" s="20"/>
      <c r="I33" s="20"/>
      <c r="J33" s="20"/>
      <c r="K33" s="20"/>
      <c r="L33" s="20"/>
      <c r="M33" s="21"/>
      <c r="N33" s="20"/>
      <c r="O33" s="1"/>
      <c r="P33" s="20"/>
      <c r="Q33" s="21"/>
      <c r="S33" s="21"/>
      <c r="U33" s="21"/>
      <c r="V33" s="14"/>
      <c r="W33" s="14"/>
      <c r="X33" s="14"/>
      <c r="Y33" s="14"/>
      <c r="AE33" s="14"/>
      <c r="AF33" s="18"/>
      <c r="AG33" s="18"/>
      <c r="AH33" s="18"/>
    </row>
    <row r="34" spans="1:34" ht="15.6" x14ac:dyDescent="0.3">
      <c r="A34" s="17"/>
      <c r="G34" s="21"/>
      <c r="H34" s="20"/>
      <c r="I34" s="20"/>
      <c r="J34" s="20"/>
      <c r="K34" s="20"/>
      <c r="L34" s="20"/>
      <c r="M34" s="21"/>
      <c r="N34" s="20"/>
      <c r="O34" s="1"/>
      <c r="P34" s="20"/>
      <c r="Q34" s="21"/>
      <c r="R34" s="21"/>
      <c r="S34" s="21"/>
      <c r="T34" s="21"/>
      <c r="U34" s="21"/>
      <c r="V34" s="14"/>
      <c r="W34" s="14"/>
      <c r="X34" s="14"/>
      <c r="Y34" s="14"/>
      <c r="AE34" s="14"/>
      <c r="AF34" s="18"/>
      <c r="AG34" s="18"/>
      <c r="AH34" s="18"/>
    </row>
    <row r="35" spans="1:34" ht="15.6" x14ac:dyDescent="0.3">
      <c r="A35" s="17"/>
      <c r="G35" s="21"/>
      <c r="H35" s="20"/>
      <c r="I35" s="20"/>
      <c r="J35" s="20"/>
      <c r="K35" s="20"/>
      <c r="L35" s="20"/>
      <c r="M35" s="21"/>
      <c r="N35" s="20"/>
      <c r="O35" s="21"/>
      <c r="P35" s="20"/>
      <c r="Q35" s="21"/>
      <c r="S35" s="21"/>
      <c r="U35" s="21"/>
      <c r="V35" s="14"/>
      <c r="W35" s="14"/>
      <c r="X35" s="14"/>
      <c r="Y35" s="14"/>
      <c r="AE35" s="14"/>
      <c r="AF35" s="18"/>
      <c r="AG35" s="18"/>
      <c r="AH35" s="18"/>
    </row>
    <row r="36" spans="1:34" ht="15.6" x14ac:dyDescent="0.3">
      <c r="A36" s="17"/>
      <c r="G36" s="21"/>
      <c r="H36" s="20"/>
      <c r="I36" s="20"/>
      <c r="J36" s="20"/>
      <c r="K36" s="20"/>
      <c r="L36" s="20"/>
      <c r="M36" s="21"/>
      <c r="N36" s="20"/>
      <c r="O36" s="21"/>
      <c r="P36" s="20"/>
      <c r="Q36" s="21"/>
      <c r="S36" s="21"/>
      <c r="T36" s="21"/>
      <c r="U36" s="21"/>
      <c r="V36" s="14"/>
      <c r="W36" s="14"/>
      <c r="X36" s="14"/>
      <c r="Y36" s="14"/>
      <c r="AE36" s="14"/>
      <c r="AF36" s="18"/>
      <c r="AG36" s="18"/>
      <c r="AH36" s="18"/>
    </row>
    <row r="37" spans="1:34" ht="15.6" x14ac:dyDescent="0.3">
      <c r="A37" s="17"/>
      <c r="G37" s="21"/>
      <c r="H37" s="20"/>
      <c r="I37" s="20"/>
      <c r="J37" s="20"/>
      <c r="K37" s="20"/>
      <c r="L37" s="20"/>
      <c r="M37" s="21"/>
      <c r="N37" s="20"/>
      <c r="O37" s="21"/>
      <c r="P37" s="20"/>
      <c r="Q37" s="21"/>
      <c r="S37" s="21"/>
      <c r="U37" s="21"/>
      <c r="V37" s="14"/>
      <c r="W37" s="14"/>
      <c r="X37" s="14"/>
      <c r="Y37" s="14"/>
      <c r="AE37" s="14"/>
      <c r="AF37" s="18"/>
      <c r="AG37" s="18"/>
      <c r="AH37" s="18"/>
    </row>
    <row r="38" spans="1:34" ht="15.6" x14ac:dyDescent="0.3">
      <c r="A38" s="17"/>
      <c r="G38" s="21"/>
      <c r="H38" s="20"/>
      <c r="I38" s="20"/>
      <c r="J38" s="20"/>
      <c r="K38" s="20"/>
      <c r="L38" s="20"/>
      <c r="M38" s="21"/>
      <c r="N38" s="20"/>
      <c r="O38" s="21"/>
      <c r="P38" s="20"/>
      <c r="Q38" s="21"/>
      <c r="R38" s="21"/>
      <c r="S38" s="21"/>
      <c r="T38" s="21"/>
      <c r="U38" s="21"/>
      <c r="V38" s="14"/>
      <c r="W38" s="14"/>
      <c r="X38" s="14"/>
      <c r="Y38" s="14"/>
      <c r="AE38" s="14"/>
      <c r="AF38" s="18"/>
      <c r="AG38" s="18"/>
      <c r="AH38" s="18"/>
    </row>
    <row r="39" spans="1:34" ht="15.6" x14ac:dyDescent="0.3">
      <c r="A39" s="17"/>
      <c r="G39" s="21"/>
      <c r="H39" s="20"/>
      <c r="I39" s="20"/>
      <c r="J39" s="20"/>
      <c r="K39" s="20"/>
      <c r="L39" s="20"/>
      <c r="M39" s="21"/>
      <c r="N39" s="20"/>
      <c r="O39" s="21"/>
      <c r="P39" s="20"/>
      <c r="Q39" s="21"/>
      <c r="S39" s="21"/>
      <c r="T39" s="21"/>
      <c r="U39" s="21"/>
      <c r="V39" s="14"/>
      <c r="W39" s="14"/>
      <c r="X39" s="14"/>
      <c r="Y39" s="14"/>
      <c r="AE39" s="14"/>
      <c r="AF39" s="18"/>
      <c r="AG39" s="18"/>
      <c r="AH39" s="18"/>
    </row>
    <row r="40" spans="1:34" ht="15.6" x14ac:dyDescent="0.3">
      <c r="A40" s="17"/>
      <c r="G40" s="21"/>
      <c r="H40" s="20"/>
      <c r="I40" s="20"/>
      <c r="J40" s="20"/>
      <c r="K40" s="20"/>
      <c r="L40" s="20"/>
      <c r="M40" s="21"/>
      <c r="N40" s="20"/>
      <c r="O40" s="21"/>
      <c r="P40" s="20"/>
      <c r="Q40" s="21"/>
      <c r="S40" s="21"/>
      <c r="U40" s="21"/>
      <c r="V40" s="14"/>
      <c r="W40" s="14"/>
      <c r="X40" s="14"/>
      <c r="Y40" s="14"/>
      <c r="AE40" s="14"/>
      <c r="AF40" s="18"/>
      <c r="AG40" s="18"/>
      <c r="AH40" s="18"/>
    </row>
    <row r="41" spans="1:34" ht="15.6" x14ac:dyDescent="0.3">
      <c r="A41" s="17"/>
      <c r="G41" s="21"/>
      <c r="H41" s="20"/>
      <c r="I41" s="20"/>
      <c r="J41" s="20"/>
      <c r="K41" s="20"/>
      <c r="L41" s="20"/>
      <c r="M41" s="21"/>
      <c r="N41" s="20"/>
      <c r="O41" s="21"/>
      <c r="P41" s="20"/>
      <c r="Q41" s="21"/>
      <c r="S41" s="21"/>
      <c r="U41" s="21"/>
      <c r="V41" s="14"/>
      <c r="W41" s="14"/>
      <c r="X41" s="14"/>
      <c r="Y41" s="14"/>
      <c r="AE41" s="14"/>
      <c r="AF41" s="18"/>
      <c r="AG41" s="18"/>
      <c r="AH41" s="18"/>
    </row>
    <row r="42" spans="1:34" ht="15.6" x14ac:dyDescent="0.3">
      <c r="A42" s="17"/>
      <c r="G42" s="21"/>
      <c r="H42" s="20"/>
      <c r="I42" s="20"/>
      <c r="J42" s="20"/>
      <c r="K42" s="20"/>
      <c r="L42" s="20"/>
      <c r="M42" s="21"/>
      <c r="N42" s="20"/>
      <c r="O42" s="21"/>
      <c r="P42" s="20"/>
      <c r="Q42" s="21"/>
      <c r="R42" s="21"/>
      <c r="S42" s="21"/>
      <c r="T42" s="21"/>
      <c r="U42" s="21"/>
      <c r="V42" s="14"/>
      <c r="W42" s="14"/>
      <c r="X42" s="14"/>
      <c r="Y42" s="14"/>
      <c r="AE42" s="14"/>
      <c r="AF42" s="18"/>
      <c r="AG42" s="18"/>
      <c r="AH42" s="18"/>
    </row>
    <row r="43" spans="1:34" ht="15.6" x14ac:dyDescent="0.3">
      <c r="A43" s="17"/>
      <c r="G43" s="21"/>
      <c r="H43" s="20"/>
      <c r="I43" s="20"/>
      <c r="J43" s="20"/>
      <c r="K43" s="20"/>
      <c r="L43" s="20"/>
      <c r="M43" s="21"/>
      <c r="N43" s="20"/>
      <c r="O43" s="21"/>
      <c r="P43" s="20"/>
      <c r="Q43" s="21"/>
      <c r="S43" s="21"/>
      <c r="U43" s="21"/>
      <c r="V43" s="14"/>
      <c r="W43" s="14"/>
      <c r="X43" s="14"/>
      <c r="Y43" s="14"/>
      <c r="AE43" s="14"/>
      <c r="AF43" s="18"/>
      <c r="AG43" s="18"/>
      <c r="AH43" s="18"/>
    </row>
    <row r="44" spans="1:34" ht="15.6" x14ac:dyDescent="0.3">
      <c r="A44" s="17"/>
      <c r="G44" s="21"/>
      <c r="H44" s="20"/>
      <c r="I44" s="20"/>
      <c r="J44" s="20"/>
      <c r="K44" s="20"/>
      <c r="L44" s="20"/>
      <c r="M44" s="21"/>
      <c r="N44" s="20"/>
      <c r="O44" s="21"/>
      <c r="P44" s="20"/>
      <c r="Q44" s="21"/>
      <c r="U44" s="21"/>
      <c r="V44" s="14"/>
      <c r="W44" s="14"/>
      <c r="X44" s="14"/>
      <c r="Y44" s="14"/>
      <c r="AE44" s="14"/>
      <c r="AF44" s="18"/>
      <c r="AG44" s="18"/>
      <c r="AH44" s="18"/>
    </row>
    <row r="45" spans="1:34" ht="15.6" x14ac:dyDescent="0.3">
      <c r="A45" s="17"/>
      <c r="G45" s="21"/>
      <c r="H45" s="20"/>
      <c r="I45" s="20"/>
      <c r="J45" s="20"/>
      <c r="K45" s="20"/>
      <c r="L45" s="20"/>
      <c r="M45" s="21"/>
      <c r="N45" s="20"/>
      <c r="O45" s="21"/>
      <c r="P45" s="20"/>
      <c r="Q45" s="21"/>
      <c r="R45" s="21"/>
      <c r="S45" s="21"/>
      <c r="T45" s="21"/>
      <c r="U45" s="21"/>
      <c r="V45" s="14"/>
      <c r="W45" s="14"/>
      <c r="X45" s="14"/>
      <c r="Y45" s="14"/>
      <c r="AE45" s="14"/>
      <c r="AF45" s="18"/>
      <c r="AG45" s="18"/>
      <c r="AH45" s="18"/>
    </row>
    <row r="46" spans="1:34" ht="15.6" x14ac:dyDescent="0.3">
      <c r="A46" s="17"/>
      <c r="G46" s="21"/>
      <c r="H46" s="20"/>
      <c r="I46" s="20"/>
      <c r="J46" s="20"/>
      <c r="K46" s="20"/>
      <c r="L46" s="20"/>
      <c r="M46" s="21"/>
      <c r="N46" s="20"/>
      <c r="O46" s="21"/>
      <c r="P46" s="20"/>
      <c r="Q46" s="21"/>
      <c r="S46" s="21"/>
      <c r="U46" s="21"/>
      <c r="V46" s="14"/>
      <c r="W46" s="14"/>
      <c r="X46" s="14"/>
      <c r="Y46" s="14"/>
      <c r="AE46" s="14"/>
      <c r="AF46" s="18"/>
      <c r="AG46" s="18"/>
      <c r="AH46" s="18"/>
    </row>
    <row r="47" spans="1:34" ht="15.6" x14ac:dyDescent="0.3">
      <c r="A47" s="17"/>
      <c r="G47" s="21"/>
      <c r="H47" s="20"/>
      <c r="I47" s="20"/>
      <c r="J47" s="20"/>
      <c r="K47" s="20"/>
      <c r="L47" s="20"/>
      <c r="M47" s="21"/>
      <c r="N47" s="20"/>
      <c r="O47" s="21"/>
      <c r="P47" s="20"/>
      <c r="Q47" s="21"/>
      <c r="S47" s="21"/>
      <c r="U47" s="21"/>
      <c r="V47" s="14"/>
      <c r="W47" s="14"/>
      <c r="X47" s="14"/>
      <c r="Y47" s="14"/>
      <c r="AE47" s="14"/>
      <c r="AF47" s="18"/>
      <c r="AG47" s="18"/>
      <c r="AH47" s="18"/>
    </row>
    <row r="48" spans="1:34" ht="15.6" x14ac:dyDescent="0.3">
      <c r="A48" s="17"/>
      <c r="G48" s="21"/>
      <c r="H48" s="20"/>
      <c r="I48" s="20"/>
      <c r="J48" s="20"/>
      <c r="K48" s="20"/>
      <c r="L48" s="20"/>
      <c r="M48" s="21"/>
      <c r="N48" s="20"/>
      <c r="O48" s="21"/>
      <c r="P48" s="20"/>
      <c r="Q48" s="21"/>
      <c r="S48" s="21"/>
      <c r="T48" s="21"/>
      <c r="U48" s="21"/>
      <c r="V48" s="14"/>
      <c r="W48" s="14"/>
      <c r="X48" s="14"/>
      <c r="Y48" s="14"/>
      <c r="AE48" s="14"/>
      <c r="AF48" s="18"/>
      <c r="AG48" s="18"/>
      <c r="AH48" s="18"/>
    </row>
    <row r="49" spans="1:34" ht="15.6" x14ac:dyDescent="0.3">
      <c r="A49" s="17"/>
      <c r="G49" s="21"/>
      <c r="H49" s="20"/>
      <c r="I49" s="20"/>
      <c r="J49" s="20"/>
      <c r="K49" s="20"/>
      <c r="L49" s="20"/>
      <c r="M49" s="21"/>
      <c r="N49" s="20"/>
      <c r="O49" s="21"/>
      <c r="P49" s="20"/>
      <c r="Q49" s="21"/>
      <c r="S49" s="21"/>
      <c r="U49" s="21"/>
      <c r="V49" s="14"/>
      <c r="W49" s="14"/>
      <c r="X49" s="14"/>
      <c r="Y49" s="14"/>
      <c r="AE49" s="14"/>
      <c r="AF49" s="18"/>
      <c r="AG49" s="18"/>
      <c r="AH49" s="18"/>
    </row>
    <row r="50" spans="1:34" ht="15.6" x14ac:dyDescent="0.3">
      <c r="A50" s="17"/>
      <c r="G50" s="21"/>
      <c r="H50" s="20"/>
      <c r="I50" s="20"/>
      <c r="J50" s="20"/>
      <c r="K50" s="20"/>
      <c r="L50" s="20"/>
      <c r="M50" s="21"/>
      <c r="N50" s="20"/>
      <c r="O50" s="21"/>
      <c r="P50" s="20"/>
      <c r="Q50" s="21"/>
      <c r="S50" s="21"/>
      <c r="U50" s="21"/>
      <c r="V50" s="14"/>
      <c r="W50" s="14"/>
      <c r="X50" s="14"/>
      <c r="Y50" s="14"/>
      <c r="AE50" s="14"/>
      <c r="AF50" s="18"/>
      <c r="AG50" s="18"/>
      <c r="AH50" s="18"/>
    </row>
    <row r="51" spans="1:34" ht="15.6" x14ac:dyDescent="0.3">
      <c r="A51" s="17"/>
      <c r="G51" s="21"/>
      <c r="H51" s="20"/>
      <c r="I51" s="20"/>
      <c r="J51" s="20"/>
      <c r="K51" s="20"/>
      <c r="L51" s="20"/>
      <c r="M51" s="21"/>
      <c r="N51" s="20"/>
      <c r="O51" s="21"/>
      <c r="P51" s="20"/>
      <c r="Q51" s="21"/>
      <c r="S51" s="21"/>
      <c r="U51" s="21"/>
      <c r="V51" s="14"/>
      <c r="W51" s="14"/>
      <c r="X51" s="14"/>
      <c r="Y51" s="14"/>
      <c r="AE51" s="14"/>
      <c r="AF51" s="18"/>
      <c r="AG51" s="18"/>
      <c r="AH51" s="18"/>
    </row>
    <row r="52" spans="1:34" ht="15.6" x14ac:dyDescent="0.3">
      <c r="A52" s="17"/>
      <c r="G52" s="21"/>
      <c r="H52" s="20"/>
      <c r="I52" s="20"/>
      <c r="J52" s="20"/>
      <c r="K52" s="20"/>
      <c r="L52" s="20"/>
      <c r="M52" s="21"/>
      <c r="N52" s="20"/>
      <c r="P52" s="20"/>
      <c r="Q52" s="21"/>
      <c r="U52" s="21"/>
      <c r="V52" s="14"/>
      <c r="W52" s="14"/>
      <c r="X52" s="14"/>
      <c r="Y52" s="14"/>
      <c r="AE52" s="14"/>
      <c r="AF52" s="18"/>
      <c r="AG52" s="18"/>
      <c r="AH52" s="18"/>
    </row>
    <row r="53" spans="1:34" ht="15.6" x14ac:dyDescent="0.3">
      <c r="A53" s="17"/>
      <c r="G53" s="21"/>
      <c r="H53" s="20"/>
      <c r="I53" s="20"/>
      <c r="J53" s="20"/>
      <c r="K53" s="20"/>
      <c r="L53" s="20"/>
      <c r="M53" s="21"/>
      <c r="N53" s="20"/>
      <c r="O53" s="21"/>
      <c r="P53" s="20"/>
      <c r="Q53" s="21"/>
      <c r="S53" s="21"/>
      <c r="U53" s="21"/>
      <c r="V53" s="14"/>
      <c r="W53" s="14"/>
      <c r="X53" s="14"/>
      <c r="Y53" s="14"/>
      <c r="AE53" s="14"/>
      <c r="AF53" s="18"/>
      <c r="AG53" s="18"/>
      <c r="AH53" s="18"/>
    </row>
    <row r="54" spans="1:34" ht="15.6" x14ac:dyDescent="0.3">
      <c r="A54" s="17"/>
      <c r="G54" s="21"/>
      <c r="H54" s="20"/>
      <c r="I54" s="20"/>
      <c r="J54" s="20"/>
      <c r="K54" s="20"/>
      <c r="L54" s="20"/>
      <c r="M54" s="21"/>
      <c r="N54" s="20"/>
      <c r="O54" s="21"/>
      <c r="P54" s="20"/>
      <c r="Q54" s="21"/>
      <c r="S54" s="21"/>
      <c r="U54" s="21"/>
      <c r="V54" s="14"/>
      <c r="W54" s="14"/>
      <c r="X54" s="14"/>
      <c r="Y54" s="14"/>
      <c r="AE54" s="14"/>
      <c r="AF54" s="18"/>
      <c r="AG54" s="18"/>
      <c r="AH54" s="18"/>
    </row>
    <row r="55" spans="1:34" ht="15.6" x14ac:dyDescent="0.3">
      <c r="A55" s="17"/>
      <c r="H55" s="20"/>
      <c r="I55" s="20"/>
      <c r="J55" s="20"/>
      <c r="K55" s="20"/>
      <c r="L55" s="20"/>
      <c r="M55" s="21"/>
      <c r="N55" s="20"/>
      <c r="P55" s="20"/>
      <c r="Q55" s="21"/>
      <c r="S55" s="21"/>
      <c r="U55" s="21"/>
      <c r="V55" s="14"/>
      <c r="W55" s="14"/>
      <c r="X55" s="14"/>
      <c r="Y55" s="14"/>
      <c r="AE55" s="14"/>
      <c r="AF55" s="18"/>
      <c r="AG55" s="18"/>
      <c r="AH55" s="18"/>
    </row>
    <row r="56" spans="1:34" ht="15.6" x14ac:dyDescent="0.3">
      <c r="A56" s="17"/>
      <c r="H56" s="20"/>
      <c r="I56" s="20"/>
      <c r="J56" s="20"/>
      <c r="K56" s="20"/>
      <c r="L56" s="20"/>
      <c r="M56" s="21"/>
      <c r="N56" s="20"/>
      <c r="P56" s="20"/>
      <c r="Q56" s="21"/>
      <c r="S56" s="21"/>
      <c r="U56" s="21"/>
      <c r="V56" s="14"/>
      <c r="W56" s="14"/>
      <c r="X56" s="14"/>
      <c r="Y56" s="14"/>
      <c r="AE56" s="14"/>
      <c r="AF56" s="18"/>
      <c r="AG56" s="18"/>
      <c r="AH56" s="18"/>
    </row>
    <row r="57" spans="1:34" ht="15.6" x14ac:dyDescent="0.3">
      <c r="A57" s="17"/>
      <c r="H57" s="20"/>
      <c r="I57" s="20"/>
      <c r="J57" s="20"/>
      <c r="K57" s="20"/>
      <c r="L57" s="20"/>
      <c r="M57" s="21"/>
      <c r="N57" s="20"/>
      <c r="P57" s="20"/>
      <c r="Q57" s="21"/>
      <c r="S57" s="21"/>
      <c r="U57" s="21"/>
      <c r="V57" s="14"/>
      <c r="W57" s="14"/>
      <c r="X57" s="14"/>
      <c r="Y57" s="14"/>
      <c r="AE57" s="14"/>
      <c r="AF57" s="18"/>
      <c r="AG57" s="18"/>
      <c r="AH57" s="18"/>
    </row>
    <row r="58" spans="1:34" ht="15.6" x14ac:dyDescent="0.3">
      <c r="A58" s="17"/>
      <c r="H58" s="20"/>
      <c r="I58" s="20"/>
      <c r="J58" s="20"/>
      <c r="K58" s="20"/>
      <c r="L58" s="20"/>
      <c r="M58" s="21"/>
      <c r="N58" s="20"/>
      <c r="P58" s="20"/>
      <c r="Q58" s="21"/>
      <c r="S58" s="21"/>
      <c r="V58" s="14"/>
      <c r="W58" s="14"/>
      <c r="X58" s="14"/>
      <c r="Y58" s="14"/>
      <c r="AE58" s="14"/>
      <c r="AF58" s="18"/>
      <c r="AG58" s="18"/>
      <c r="AH58" s="18"/>
    </row>
    <row r="59" spans="1:34" ht="15.6" x14ac:dyDescent="0.3">
      <c r="A59" s="17"/>
      <c r="H59" s="20"/>
      <c r="I59" s="20"/>
      <c r="J59" s="20"/>
      <c r="K59" s="20"/>
      <c r="L59" s="20"/>
      <c r="M59" s="21"/>
      <c r="N59" s="20"/>
      <c r="P59" s="20"/>
      <c r="Q59" s="21"/>
      <c r="S59" s="21"/>
      <c r="U59" s="21"/>
      <c r="V59" s="14"/>
      <c r="W59" s="14"/>
      <c r="X59" s="14"/>
      <c r="Y59" s="14"/>
      <c r="AE59" s="14"/>
      <c r="AF59" s="18"/>
      <c r="AG59" s="18"/>
      <c r="AH59" s="18"/>
    </row>
    <row r="60" spans="1:34" ht="15.6" x14ac:dyDescent="0.3">
      <c r="A60" s="17"/>
      <c r="B60" s="21"/>
      <c r="C60" s="21"/>
      <c r="F60" s="21"/>
      <c r="G60" s="21"/>
      <c r="H60" s="20"/>
      <c r="I60" s="20"/>
      <c r="J60" s="20"/>
      <c r="K60" s="20"/>
      <c r="L60" s="20"/>
      <c r="M60" s="21"/>
      <c r="N60" s="20"/>
      <c r="O60" s="21"/>
      <c r="P60" s="20"/>
      <c r="Q60" s="21"/>
      <c r="R60" s="21"/>
      <c r="S60" s="21"/>
      <c r="T60" s="21"/>
      <c r="U60" s="21"/>
      <c r="V60" s="14"/>
      <c r="W60" s="14"/>
      <c r="X60" s="14"/>
      <c r="Y60" s="14"/>
      <c r="AE60" s="14"/>
      <c r="AF60" s="18"/>
      <c r="AG60" s="18"/>
      <c r="AH60" s="18"/>
    </row>
    <row r="61" spans="1:34" ht="15.6" x14ac:dyDescent="0.3">
      <c r="A61" s="17"/>
      <c r="H61" s="20"/>
      <c r="I61" s="20"/>
      <c r="J61" s="20"/>
      <c r="K61" s="20"/>
      <c r="L61" s="20"/>
      <c r="M61" s="21"/>
      <c r="N61" s="20"/>
      <c r="O61" s="21"/>
      <c r="P61" s="20"/>
      <c r="Q61" s="21"/>
      <c r="S61" s="21"/>
      <c r="U61" s="21"/>
      <c r="V61" s="14"/>
      <c r="W61" s="14"/>
      <c r="X61" s="14"/>
      <c r="Y61" s="14"/>
      <c r="AE61" s="14"/>
      <c r="AF61" s="18"/>
      <c r="AG61" s="18"/>
      <c r="AH61" s="18"/>
    </row>
    <row r="62" spans="1:34" ht="15.6" x14ac:dyDescent="0.3">
      <c r="A62" s="17"/>
      <c r="G62" s="21"/>
      <c r="H62" s="20"/>
      <c r="I62" s="20"/>
      <c r="J62" s="20"/>
      <c r="K62" s="20"/>
      <c r="L62" s="20"/>
      <c r="M62" s="21"/>
      <c r="N62" s="20"/>
      <c r="O62" s="21"/>
      <c r="P62" s="20"/>
      <c r="Q62" s="21"/>
      <c r="S62" s="21"/>
      <c r="U62" s="21"/>
      <c r="V62" s="14"/>
      <c r="W62" s="14"/>
      <c r="X62" s="14"/>
      <c r="Y62" s="14"/>
      <c r="AE62" s="14"/>
      <c r="AF62" s="18"/>
      <c r="AG62" s="18"/>
      <c r="AH62" s="18"/>
    </row>
    <row r="63" spans="1:34" ht="15.6" x14ac:dyDescent="0.3">
      <c r="A63" s="17"/>
      <c r="H63" s="20"/>
      <c r="I63" s="20"/>
      <c r="J63" s="20"/>
      <c r="K63" s="20"/>
      <c r="L63" s="20"/>
      <c r="M63" s="21"/>
      <c r="N63" s="20"/>
      <c r="O63" s="21"/>
      <c r="P63" s="20"/>
      <c r="Q63" s="21"/>
      <c r="S63" s="21"/>
      <c r="U63" s="21"/>
      <c r="V63" s="14"/>
      <c r="W63" s="14"/>
      <c r="X63" s="14"/>
      <c r="Y63" s="14"/>
      <c r="AE63" s="14"/>
      <c r="AF63" s="18"/>
      <c r="AG63" s="18"/>
      <c r="AH63" s="18"/>
    </row>
    <row r="64" spans="1:34" ht="15.6" x14ac:dyDescent="0.3">
      <c r="A64" s="17"/>
      <c r="H64" s="20"/>
      <c r="I64" s="20"/>
      <c r="J64" s="20"/>
      <c r="K64" s="20"/>
      <c r="L64" s="20"/>
      <c r="M64" s="21"/>
      <c r="N64" s="20"/>
      <c r="O64" s="21"/>
      <c r="P64" s="20"/>
      <c r="Q64" s="21"/>
      <c r="S64" s="21"/>
      <c r="U64" s="21"/>
      <c r="V64" s="14"/>
      <c r="W64" s="14"/>
      <c r="X64" s="14"/>
      <c r="Y64" s="14"/>
      <c r="AE64" s="14"/>
      <c r="AF64" s="18"/>
      <c r="AG64" s="18"/>
      <c r="AH64" s="18"/>
    </row>
    <row r="65" spans="1:34" ht="15.6" x14ac:dyDescent="0.3">
      <c r="A65" s="17"/>
      <c r="F65" s="21"/>
      <c r="H65" s="20"/>
      <c r="I65" s="20"/>
      <c r="J65" s="20"/>
      <c r="K65" s="20"/>
      <c r="L65" s="20"/>
      <c r="M65" s="21"/>
      <c r="N65" s="20"/>
      <c r="O65" s="21"/>
      <c r="P65" s="20"/>
      <c r="Q65" s="21"/>
      <c r="S65" s="21"/>
      <c r="U65" s="21"/>
      <c r="V65" s="14"/>
      <c r="W65" s="14"/>
      <c r="X65" s="14"/>
      <c r="Y65" s="14"/>
      <c r="AE65" s="14"/>
      <c r="AF65" s="18"/>
      <c r="AG65" s="18"/>
      <c r="AH65" s="18"/>
    </row>
    <row r="66" spans="1:34" ht="15.6" x14ac:dyDescent="0.3">
      <c r="A66" s="17"/>
      <c r="H66" s="20"/>
      <c r="I66" s="20"/>
      <c r="J66" s="20"/>
      <c r="K66" s="20"/>
      <c r="L66" s="20"/>
      <c r="M66" s="21"/>
      <c r="N66" s="20"/>
      <c r="O66" s="21"/>
      <c r="P66" s="20"/>
      <c r="Q66" s="21"/>
      <c r="S66" s="21"/>
      <c r="U66" s="21"/>
      <c r="V66" s="14"/>
      <c r="W66" s="14"/>
      <c r="X66" s="14"/>
      <c r="Y66" s="14"/>
      <c r="AE66" s="14"/>
      <c r="AF66" s="18"/>
      <c r="AG66" s="18"/>
      <c r="AH66" s="18"/>
    </row>
    <row r="67" spans="1:34" ht="15.6" x14ac:dyDescent="0.3">
      <c r="A67" s="17"/>
      <c r="H67" s="20"/>
      <c r="I67" s="20"/>
      <c r="J67" s="20"/>
      <c r="K67" s="20"/>
      <c r="L67" s="20"/>
      <c r="N67" s="20"/>
      <c r="O67" s="21"/>
      <c r="P67" s="20"/>
      <c r="Q67" s="21"/>
      <c r="S67" s="21"/>
      <c r="U67" s="21"/>
      <c r="V67" s="14"/>
      <c r="W67" s="14"/>
      <c r="X67" s="14"/>
      <c r="Y67" s="14"/>
      <c r="AE67" s="14"/>
      <c r="AF67" s="18"/>
      <c r="AG67" s="18"/>
      <c r="AH67" s="18"/>
    </row>
    <row r="68" spans="1:34" ht="15.6" x14ac:dyDescent="0.3">
      <c r="A68" s="17"/>
      <c r="B68" s="21"/>
      <c r="C68" s="21"/>
      <c r="F68" s="21"/>
      <c r="G68" s="21"/>
      <c r="H68" s="20"/>
      <c r="I68" s="20"/>
      <c r="J68" s="20"/>
      <c r="K68" s="20"/>
      <c r="L68" s="20"/>
      <c r="M68" s="21"/>
      <c r="N68" s="20"/>
      <c r="O68" s="21"/>
      <c r="P68" s="20"/>
      <c r="Q68" s="21"/>
      <c r="S68" s="21"/>
      <c r="T68" s="21"/>
      <c r="U68" s="21"/>
      <c r="V68" s="14"/>
      <c r="W68" s="14"/>
      <c r="X68" s="14"/>
      <c r="Y68" s="14"/>
      <c r="AE68" s="14"/>
      <c r="AF68" s="18"/>
      <c r="AG68" s="18"/>
      <c r="AH68" s="18"/>
    </row>
    <row r="69" spans="1:34" ht="15.6" x14ac:dyDescent="0.3">
      <c r="A69" s="17"/>
      <c r="H69" s="20"/>
      <c r="I69" s="20"/>
      <c r="J69" s="20"/>
      <c r="K69" s="20"/>
      <c r="L69" s="20"/>
      <c r="M69" s="21"/>
      <c r="N69" s="20"/>
      <c r="O69" s="21"/>
      <c r="P69" s="20"/>
      <c r="Q69" s="21"/>
      <c r="S69" s="21"/>
      <c r="U69" s="21"/>
      <c r="V69" s="14"/>
      <c r="W69" s="14"/>
      <c r="X69" s="14"/>
      <c r="Y69" s="14"/>
      <c r="AE69" s="14"/>
      <c r="AF69" s="18"/>
      <c r="AG69" s="18"/>
      <c r="AH69" s="18"/>
    </row>
    <row r="70" spans="1:34" ht="15.6" x14ac:dyDescent="0.3">
      <c r="A70" s="17"/>
      <c r="H70" s="20"/>
      <c r="I70" s="20"/>
      <c r="J70" s="20"/>
      <c r="K70" s="20"/>
      <c r="L70" s="20"/>
      <c r="N70" s="20"/>
      <c r="O70" s="21"/>
      <c r="P70" s="20"/>
      <c r="Q70" s="21"/>
      <c r="S70" s="21"/>
      <c r="U70" s="21"/>
      <c r="V70" s="14"/>
      <c r="W70" s="14"/>
      <c r="X70" s="14"/>
      <c r="Y70" s="14"/>
      <c r="AE70" s="14"/>
      <c r="AF70" s="18"/>
      <c r="AG70" s="18"/>
      <c r="AH70" s="18"/>
    </row>
    <row r="71" spans="1:34" ht="15.6" x14ac:dyDescent="0.3">
      <c r="A71" s="17"/>
      <c r="H71" s="20"/>
      <c r="I71" s="20"/>
      <c r="J71" s="20"/>
      <c r="K71" s="20"/>
      <c r="L71" s="20"/>
      <c r="M71" s="21"/>
      <c r="N71" s="20"/>
      <c r="O71" s="21"/>
      <c r="P71" s="20"/>
      <c r="Q71" s="21"/>
      <c r="S71" s="21"/>
      <c r="T71" s="21"/>
      <c r="U71" s="21"/>
      <c r="V71" s="14"/>
      <c r="W71" s="14"/>
      <c r="X71" s="14"/>
      <c r="Y71" s="14"/>
      <c r="AE71" s="14"/>
      <c r="AF71" s="18"/>
      <c r="AG71" s="18"/>
      <c r="AH71" s="18"/>
    </row>
    <row r="72" spans="1:34" ht="15.6" x14ac:dyDescent="0.3">
      <c r="A72" s="17"/>
      <c r="H72" s="20"/>
      <c r="I72" s="20"/>
      <c r="J72" s="20"/>
      <c r="K72" s="20"/>
      <c r="L72" s="20"/>
      <c r="N72" s="20"/>
      <c r="O72" s="21"/>
      <c r="P72" s="20"/>
      <c r="Q72" s="21"/>
      <c r="S72" s="21"/>
      <c r="U72" s="21"/>
      <c r="V72" s="14"/>
      <c r="W72" s="14"/>
      <c r="X72" s="14"/>
      <c r="Y72" s="14"/>
      <c r="AE72" s="14"/>
      <c r="AF72" s="18"/>
      <c r="AG72" s="18"/>
      <c r="AH72" s="18"/>
    </row>
    <row r="73" spans="1:34" ht="15.6" x14ac:dyDescent="0.3">
      <c r="A73" s="17"/>
      <c r="G73" s="21"/>
      <c r="H73" s="20"/>
      <c r="I73" s="20"/>
      <c r="J73" s="20"/>
      <c r="K73" s="20"/>
      <c r="L73" s="20"/>
      <c r="M73" s="21"/>
      <c r="N73" s="20"/>
      <c r="O73" s="21"/>
      <c r="P73" s="20"/>
      <c r="Q73" s="21"/>
      <c r="S73" s="21"/>
      <c r="T73" s="21"/>
      <c r="U73" s="21"/>
      <c r="V73" s="14"/>
      <c r="W73" s="14"/>
      <c r="X73" s="14"/>
      <c r="Y73" s="14"/>
      <c r="AE73" s="14"/>
      <c r="AF73" s="18"/>
      <c r="AG73" s="18"/>
      <c r="AH73" s="18"/>
    </row>
    <row r="74" spans="1:34" ht="15.6" x14ac:dyDescent="0.3">
      <c r="A74" s="17"/>
      <c r="G74" s="21"/>
      <c r="H74" s="20"/>
      <c r="I74" s="20"/>
      <c r="J74" s="20"/>
      <c r="K74" s="20"/>
      <c r="L74" s="20"/>
      <c r="M74" s="21"/>
      <c r="N74" s="20"/>
      <c r="O74" s="21"/>
      <c r="P74" s="20"/>
      <c r="Q74" s="21"/>
      <c r="S74" s="21"/>
      <c r="U74" s="21"/>
      <c r="V74" s="14"/>
      <c r="W74" s="14"/>
      <c r="X74" s="14"/>
      <c r="Y74" s="14"/>
      <c r="AE74" s="14"/>
      <c r="AF74" s="18"/>
      <c r="AG74" s="18"/>
      <c r="AH74" s="18"/>
    </row>
    <row r="75" spans="1:34" ht="15.6" x14ac:dyDescent="0.3">
      <c r="A75" s="17"/>
      <c r="H75" s="20"/>
      <c r="I75" s="20"/>
      <c r="J75" s="20"/>
      <c r="K75" s="20"/>
      <c r="L75" s="20"/>
      <c r="N75" s="20"/>
      <c r="O75" s="21"/>
      <c r="P75" s="20"/>
      <c r="Q75" s="21"/>
      <c r="S75" s="21"/>
      <c r="U75" s="21"/>
      <c r="V75" s="14"/>
      <c r="W75" s="14"/>
      <c r="X75" s="14"/>
      <c r="Y75" s="14"/>
      <c r="AE75" s="14"/>
      <c r="AF75" s="18"/>
      <c r="AG75" s="18"/>
      <c r="AH75" s="18"/>
    </row>
    <row r="76" spans="1:34" ht="15.6" x14ac:dyDescent="0.3">
      <c r="A76" s="17"/>
      <c r="B76" s="21"/>
      <c r="C76" s="21"/>
      <c r="H76" s="20"/>
      <c r="I76" s="20"/>
      <c r="J76" s="20"/>
      <c r="K76" s="20"/>
      <c r="L76" s="20"/>
      <c r="N76" s="20"/>
      <c r="O76" s="21"/>
      <c r="P76" s="20"/>
      <c r="Q76" s="21"/>
      <c r="S76" s="21"/>
      <c r="U76" s="21"/>
      <c r="V76" s="14"/>
      <c r="W76" s="14"/>
      <c r="X76" s="14"/>
      <c r="Y76" s="14"/>
      <c r="AE76" s="14"/>
      <c r="AF76" s="18"/>
      <c r="AG76" s="18"/>
      <c r="AH76" s="18"/>
    </row>
    <row r="77" spans="1:34" ht="15.6" x14ac:dyDescent="0.3">
      <c r="A77" s="17"/>
      <c r="B77" s="21"/>
      <c r="C77" s="21"/>
      <c r="D77" s="21"/>
      <c r="E77" s="21"/>
      <c r="F77" s="21"/>
      <c r="G77" s="21"/>
      <c r="H77" s="20"/>
      <c r="I77" s="20"/>
      <c r="J77" s="20"/>
      <c r="K77" s="20"/>
      <c r="L77" s="20"/>
      <c r="M77" s="21"/>
      <c r="N77" s="20"/>
      <c r="O77" s="21"/>
      <c r="P77" s="20"/>
      <c r="Q77" s="21"/>
      <c r="R77" s="21"/>
      <c r="S77" s="21"/>
      <c r="T77" s="21"/>
      <c r="U77" s="21"/>
      <c r="V77" s="14"/>
      <c r="W77" s="14"/>
      <c r="X77" s="14"/>
      <c r="Y77" s="14"/>
      <c r="AE77" s="14"/>
      <c r="AF77" s="18"/>
      <c r="AG77" s="18"/>
      <c r="AH77" s="18"/>
    </row>
    <row r="78" spans="1:34" ht="15.6" x14ac:dyDescent="0.3">
      <c r="A78" s="17"/>
      <c r="D78" s="21"/>
      <c r="E78" s="21"/>
      <c r="F78" s="21"/>
      <c r="G78" s="21"/>
      <c r="H78" s="20"/>
      <c r="I78" s="20"/>
      <c r="J78" s="20"/>
      <c r="K78" s="20"/>
      <c r="L78" s="20"/>
      <c r="M78" s="21"/>
      <c r="N78" s="20"/>
      <c r="O78" s="21"/>
      <c r="P78" s="20"/>
      <c r="Q78" s="21"/>
      <c r="R78" s="21"/>
      <c r="S78" s="21"/>
      <c r="T78" s="21"/>
      <c r="U78" s="21"/>
      <c r="V78" s="14"/>
      <c r="W78" s="14"/>
      <c r="X78" s="14"/>
      <c r="Y78" s="14"/>
      <c r="AE78" s="14"/>
      <c r="AF78" s="18"/>
      <c r="AG78" s="18"/>
      <c r="AH78" s="18"/>
    </row>
    <row r="79" spans="1:34" ht="15.6" x14ac:dyDescent="0.3">
      <c r="A79" s="17"/>
      <c r="H79" s="20"/>
      <c r="I79" s="20"/>
      <c r="J79" s="20"/>
      <c r="K79" s="20"/>
      <c r="L79" s="20"/>
      <c r="M79" s="21"/>
      <c r="N79" s="20"/>
      <c r="O79" s="21"/>
      <c r="P79" s="20"/>
      <c r="Q79" s="21"/>
      <c r="S79" s="21"/>
      <c r="U79" s="21"/>
      <c r="V79" s="14"/>
      <c r="W79" s="14"/>
      <c r="X79" s="14"/>
      <c r="Y79" s="14"/>
      <c r="AE79" s="14"/>
      <c r="AF79" s="18"/>
      <c r="AG79" s="18"/>
      <c r="AH79" s="18"/>
    </row>
    <row r="80" spans="1:34" ht="15.6" x14ac:dyDescent="0.3">
      <c r="A80" s="17"/>
      <c r="G80" s="21"/>
      <c r="H80" s="20"/>
      <c r="I80" s="20"/>
      <c r="J80" s="20"/>
      <c r="K80" s="20"/>
      <c r="L80" s="20"/>
      <c r="N80" s="20"/>
      <c r="O80" s="21"/>
      <c r="P80" s="20"/>
      <c r="Q80" s="21"/>
      <c r="S80" s="21"/>
      <c r="U80" s="21"/>
      <c r="V80" s="14"/>
      <c r="W80" s="14"/>
      <c r="X80" s="14"/>
      <c r="Y80" s="14"/>
      <c r="AE80" s="14"/>
      <c r="AF80" s="18"/>
      <c r="AG80" s="18"/>
      <c r="AH80" s="18"/>
    </row>
    <row r="81" spans="1:34" ht="15.6" x14ac:dyDescent="0.3">
      <c r="A81" s="17"/>
      <c r="G81" s="21"/>
      <c r="H81" s="20"/>
      <c r="I81" s="20"/>
      <c r="J81" s="20"/>
      <c r="K81" s="20"/>
      <c r="L81" s="20"/>
      <c r="N81" s="20"/>
      <c r="O81" s="21"/>
      <c r="P81" s="20"/>
      <c r="Q81" s="21"/>
      <c r="S81" s="21"/>
      <c r="U81" s="21"/>
      <c r="V81" s="14"/>
      <c r="W81" s="14"/>
      <c r="X81" s="14"/>
      <c r="Y81" s="14"/>
      <c r="AE81" s="14"/>
      <c r="AF81" s="18"/>
      <c r="AG81" s="18"/>
      <c r="AH81" s="18"/>
    </row>
    <row r="82" spans="1:34" ht="15.6" x14ac:dyDescent="0.3">
      <c r="A82" s="17"/>
      <c r="G82" s="21"/>
      <c r="H82" s="20"/>
      <c r="I82" s="20"/>
      <c r="J82" s="20"/>
      <c r="K82" s="20"/>
      <c r="L82" s="20"/>
      <c r="N82" s="20"/>
      <c r="O82" s="21"/>
      <c r="P82" s="20"/>
      <c r="Q82" s="21"/>
      <c r="S82" s="21"/>
      <c r="U82" s="21"/>
      <c r="V82" s="14"/>
      <c r="W82" s="14"/>
      <c r="X82" s="14"/>
      <c r="Y82" s="14"/>
      <c r="AE82" s="14"/>
      <c r="AF82" s="18"/>
      <c r="AG82" s="18"/>
      <c r="AH82" s="18"/>
    </row>
    <row r="83" spans="1:34" ht="15.6" x14ac:dyDescent="0.3">
      <c r="A83" s="17"/>
      <c r="G83" s="21"/>
      <c r="H83" s="20"/>
      <c r="I83" s="20"/>
      <c r="J83" s="20"/>
      <c r="K83" s="20"/>
      <c r="L83" s="20"/>
      <c r="N83" s="20"/>
      <c r="O83" s="21"/>
      <c r="P83" s="20"/>
      <c r="Q83" s="21"/>
      <c r="S83" s="21"/>
      <c r="U83" s="21"/>
      <c r="V83" s="14"/>
      <c r="W83" s="14"/>
      <c r="X83" s="14"/>
      <c r="Y83" s="14"/>
      <c r="AE83" s="14"/>
      <c r="AF83" s="18"/>
      <c r="AG83" s="18"/>
      <c r="AH83" s="18"/>
    </row>
    <row r="84" spans="1:34" ht="15.6" x14ac:dyDescent="0.3">
      <c r="A84" s="17"/>
      <c r="G84" s="21"/>
      <c r="H84" s="20"/>
      <c r="I84" s="20"/>
      <c r="J84" s="20"/>
      <c r="K84" s="20"/>
      <c r="L84" s="20"/>
      <c r="N84" s="20"/>
      <c r="O84" s="21"/>
      <c r="P84" s="20"/>
      <c r="Q84" s="21"/>
      <c r="S84" s="21"/>
      <c r="U84" s="21"/>
      <c r="V84" s="14"/>
      <c r="W84" s="14"/>
      <c r="X84" s="14"/>
      <c r="Y84" s="14"/>
      <c r="AE84" s="14"/>
      <c r="AF84" s="18"/>
      <c r="AG84" s="18"/>
      <c r="AH84" s="18"/>
    </row>
    <row r="85" spans="1:34" ht="15.6" x14ac:dyDescent="0.3">
      <c r="A85" s="17"/>
      <c r="G85" s="21"/>
      <c r="H85" s="20"/>
      <c r="I85" s="20"/>
      <c r="J85" s="20"/>
      <c r="K85" s="20"/>
      <c r="L85" s="20"/>
      <c r="N85" s="20"/>
      <c r="O85" s="21"/>
      <c r="P85" s="20"/>
      <c r="Q85" s="21"/>
      <c r="S85" s="21"/>
      <c r="U85" s="21"/>
      <c r="V85" s="14"/>
      <c r="W85" s="14"/>
      <c r="X85" s="14"/>
      <c r="Y85" s="14"/>
      <c r="AE85" s="14"/>
      <c r="AF85" s="18"/>
      <c r="AG85" s="18"/>
      <c r="AH85" s="18"/>
    </row>
    <row r="86" spans="1:34" ht="15.6" x14ac:dyDescent="0.3">
      <c r="A86" s="17"/>
      <c r="H86" s="20"/>
      <c r="I86" s="20"/>
      <c r="J86" s="20"/>
      <c r="K86" s="20"/>
      <c r="L86" s="20"/>
      <c r="N86" s="20"/>
      <c r="O86" s="21"/>
      <c r="P86" s="20"/>
      <c r="Q86" s="21"/>
      <c r="U86" s="21"/>
      <c r="V86" s="14"/>
      <c r="W86" s="14"/>
      <c r="X86" s="14"/>
      <c r="Y86" s="14"/>
      <c r="AE86" s="14"/>
      <c r="AF86" s="18"/>
      <c r="AG86" s="18"/>
      <c r="AH86" s="18"/>
    </row>
    <row r="87" spans="1:34" ht="15.6" x14ac:dyDescent="0.3">
      <c r="A87" s="17"/>
      <c r="H87" s="20"/>
      <c r="I87" s="20"/>
      <c r="J87" s="20"/>
      <c r="K87" s="20"/>
      <c r="L87" s="20"/>
      <c r="M87" s="21"/>
      <c r="N87" s="20"/>
      <c r="O87" s="21"/>
      <c r="P87" s="20"/>
      <c r="Q87" s="21"/>
      <c r="R87" s="21"/>
      <c r="S87" s="21"/>
      <c r="T87" s="21"/>
      <c r="U87" s="21"/>
      <c r="V87" s="14"/>
      <c r="W87" s="14"/>
      <c r="X87" s="14"/>
      <c r="Y87" s="14"/>
      <c r="AE87" s="14"/>
      <c r="AF87" s="18"/>
      <c r="AG87" s="18"/>
      <c r="AH87" s="18"/>
    </row>
    <row r="88" spans="1:34" ht="15.6" x14ac:dyDescent="0.3">
      <c r="A88" s="17"/>
      <c r="H88" s="20"/>
      <c r="I88" s="20"/>
      <c r="J88" s="20"/>
      <c r="K88" s="20"/>
      <c r="L88" s="20"/>
      <c r="M88" s="21"/>
      <c r="N88" s="20"/>
      <c r="O88" s="21"/>
      <c r="P88" s="20"/>
      <c r="Q88" s="21"/>
      <c r="R88" s="21"/>
      <c r="S88" s="21"/>
      <c r="U88" s="21"/>
      <c r="V88" s="14"/>
      <c r="W88" s="14"/>
      <c r="X88" s="14"/>
      <c r="Y88" s="14"/>
      <c r="AE88" s="14"/>
      <c r="AF88" s="18"/>
      <c r="AG88" s="18"/>
      <c r="AH88" s="18"/>
    </row>
    <row r="89" spans="1:34" ht="15.6" x14ac:dyDescent="0.3">
      <c r="A89" s="17"/>
      <c r="H89" s="20"/>
      <c r="I89" s="20"/>
      <c r="J89" s="20"/>
      <c r="K89" s="20"/>
      <c r="L89" s="20"/>
      <c r="M89" s="21"/>
      <c r="N89" s="20"/>
      <c r="O89" s="21"/>
      <c r="P89" s="20"/>
      <c r="Q89" s="21"/>
      <c r="R89" s="21"/>
      <c r="S89" s="21"/>
      <c r="U89" s="21"/>
      <c r="V89" s="14"/>
      <c r="W89" s="14"/>
      <c r="X89" s="14"/>
      <c r="Y89" s="14"/>
      <c r="AE89" s="14"/>
      <c r="AF89" s="18"/>
      <c r="AG89" s="18"/>
      <c r="AH89" s="18"/>
    </row>
    <row r="90" spans="1:34" ht="15.6" x14ac:dyDescent="0.3">
      <c r="A90" s="17"/>
      <c r="H90" s="20"/>
      <c r="I90" s="20"/>
      <c r="J90" s="20"/>
      <c r="K90" s="20"/>
      <c r="L90" s="20"/>
      <c r="M90" s="21"/>
      <c r="N90" s="20"/>
      <c r="O90" s="21"/>
      <c r="P90" s="20"/>
      <c r="Q90" s="21"/>
      <c r="R90" s="21"/>
      <c r="S90" s="21"/>
      <c r="U90" s="21"/>
      <c r="V90" s="14"/>
      <c r="W90" s="14"/>
      <c r="X90" s="14"/>
      <c r="Y90" s="14"/>
      <c r="AE90" s="14"/>
      <c r="AF90" s="18"/>
      <c r="AG90" s="18"/>
      <c r="AH90" s="18"/>
    </row>
    <row r="91" spans="1:34" ht="15.6" x14ac:dyDescent="0.3">
      <c r="A91" s="17"/>
      <c r="G91" s="21"/>
      <c r="H91" s="20"/>
      <c r="I91" s="20"/>
      <c r="J91" s="20"/>
      <c r="K91" s="20"/>
      <c r="L91" s="20"/>
      <c r="M91" s="21"/>
      <c r="N91" s="20"/>
      <c r="O91" s="21"/>
      <c r="P91" s="20"/>
      <c r="Q91" s="21"/>
      <c r="R91" s="21"/>
      <c r="S91" s="21"/>
      <c r="T91" s="21"/>
      <c r="U91" s="21"/>
      <c r="V91" s="14"/>
      <c r="W91" s="14"/>
      <c r="X91" s="14"/>
      <c r="Y91" s="14"/>
      <c r="AE91" s="14"/>
      <c r="AF91" s="18"/>
      <c r="AG91" s="18"/>
      <c r="AH91" s="18"/>
    </row>
    <row r="92" spans="1:34" ht="15.6" x14ac:dyDescent="0.3">
      <c r="A92" s="17"/>
      <c r="H92" s="20"/>
      <c r="I92" s="20"/>
      <c r="J92" s="20"/>
      <c r="K92" s="20"/>
      <c r="L92" s="20"/>
      <c r="N92" s="20"/>
      <c r="O92" s="21"/>
      <c r="P92" s="20"/>
      <c r="Q92" s="21"/>
      <c r="U92" s="21"/>
      <c r="V92" s="14"/>
      <c r="W92" s="14"/>
      <c r="X92" s="14"/>
      <c r="Y92" s="14"/>
      <c r="AE92" s="14"/>
      <c r="AF92" s="18"/>
      <c r="AG92" s="18"/>
      <c r="AH92" s="18"/>
    </row>
    <row r="93" spans="1:34" ht="15.6" x14ac:dyDescent="0.3">
      <c r="A93" s="17"/>
      <c r="G93" s="21"/>
      <c r="H93" s="20"/>
      <c r="I93" s="20"/>
      <c r="J93" s="20"/>
      <c r="K93" s="20"/>
      <c r="L93" s="20"/>
      <c r="N93" s="20"/>
      <c r="O93" s="21"/>
      <c r="P93" s="20"/>
      <c r="Q93" s="21"/>
      <c r="U93" s="21"/>
      <c r="V93" s="14"/>
      <c r="W93" s="14"/>
      <c r="X93" s="14"/>
      <c r="Y93" s="14"/>
      <c r="AE93" s="14"/>
      <c r="AF93" s="18"/>
      <c r="AG93" s="18"/>
      <c r="AH93" s="18"/>
    </row>
    <row r="94" spans="1:34" ht="15.6" x14ac:dyDescent="0.3">
      <c r="A94" s="17"/>
      <c r="G94" s="21"/>
      <c r="H94" s="20"/>
      <c r="I94" s="20"/>
      <c r="J94" s="20"/>
      <c r="K94" s="20"/>
      <c r="L94" s="20"/>
      <c r="M94" s="21"/>
      <c r="N94" s="20"/>
      <c r="O94" s="21"/>
      <c r="P94" s="20"/>
      <c r="Q94" s="21"/>
      <c r="R94" s="21"/>
      <c r="S94" s="21"/>
      <c r="T94" s="21"/>
      <c r="U94" s="21"/>
      <c r="V94" s="14"/>
      <c r="W94" s="14"/>
      <c r="X94" s="14"/>
      <c r="Y94" s="14"/>
      <c r="AE94" s="14"/>
      <c r="AF94" s="18"/>
      <c r="AG94" s="18"/>
      <c r="AH94" s="18"/>
    </row>
    <row r="95" spans="1:34" ht="15.6" x14ac:dyDescent="0.3">
      <c r="A95" s="17"/>
      <c r="G95" s="21"/>
      <c r="H95" s="20"/>
      <c r="I95" s="20"/>
      <c r="J95" s="20"/>
      <c r="K95" s="20"/>
      <c r="L95" s="20"/>
      <c r="M95" s="21"/>
      <c r="N95" s="20"/>
      <c r="O95" s="21"/>
      <c r="P95" s="20"/>
      <c r="Q95" s="21"/>
      <c r="R95" s="21"/>
      <c r="S95" s="21"/>
      <c r="U95" s="21"/>
      <c r="V95" s="14"/>
      <c r="W95" s="14"/>
      <c r="X95" s="14"/>
      <c r="Y95" s="14"/>
      <c r="AE95" s="14"/>
      <c r="AF95" s="18"/>
      <c r="AG95" s="18"/>
      <c r="AH95" s="18"/>
    </row>
    <row r="96" spans="1:34" ht="15.6" x14ac:dyDescent="0.3">
      <c r="A96" s="17"/>
      <c r="G96" s="21"/>
      <c r="H96" s="20"/>
      <c r="I96" s="20"/>
      <c r="J96" s="20"/>
      <c r="K96" s="20"/>
      <c r="L96" s="20"/>
      <c r="M96" s="21"/>
      <c r="N96" s="20"/>
      <c r="O96" s="21"/>
      <c r="P96" s="20"/>
      <c r="Q96" s="21"/>
      <c r="R96" s="21"/>
      <c r="S96" s="21"/>
      <c r="U96" s="21"/>
      <c r="V96" s="14"/>
      <c r="W96" s="14"/>
      <c r="X96" s="14"/>
      <c r="Y96" s="14"/>
      <c r="AE96" s="14"/>
      <c r="AF96" s="18"/>
      <c r="AG96" s="18"/>
      <c r="AH96" s="18"/>
    </row>
    <row r="97" spans="1:34" ht="15.6" x14ac:dyDescent="0.3">
      <c r="A97" s="17"/>
      <c r="G97" s="21"/>
      <c r="H97" s="20"/>
      <c r="I97" s="20"/>
      <c r="J97" s="20"/>
      <c r="K97" s="20"/>
      <c r="L97" s="20"/>
      <c r="M97" s="21"/>
      <c r="N97" s="20"/>
      <c r="O97" s="21"/>
      <c r="P97" s="20"/>
      <c r="Q97" s="21"/>
      <c r="R97" s="21"/>
      <c r="S97" s="21"/>
      <c r="T97" s="21"/>
      <c r="U97" s="21"/>
      <c r="V97" s="14"/>
      <c r="W97" s="14"/>
      <c r="X97" s="14"/>
      <c r="Y97" s="14"/>
      <c r="AE97" s="14"/>
      <c r="AF97" s="18"/>
      <c r="AG97" s="18"/>
      <c r="AH97" s="18"/>
    </row>
    <row r="98" spans="1:34" ht="15.6" x14ac:dyDescent="0.3">
      <c r="A98" s="17"/>
      <c r="G98" s="21"/>
      <c r="H98" s="20"/>
      <c r="I98" s="20"/>
      <c r="J98" s="20"/>
      <c r="K98" s="20"/>
      <c r="L98" s="20"/>
      <c r="M98" s="21"/>
      <c r="N98" s="20"/>
      <c r="O98" s="21"/>
      <c r="P98" s="20"/>
      <c r="Q98" s="21"/>
      <c r="R98" s="21"/>
      <c r="S98" s="21"/>
      <c r="U98" s="21"/>
      <c r="V98" s="14"/>
      <c r="W98" s="14"/>
      <c r="X98" s="14"/>
      <c r="Y98" s="14"/>
      <c r="AE98" s="14"/>
      <c r="AF98" s="18"/>
      <c r="AG98" s="18"/>
      <c r="AH98" s="18"/>
    </row>
    <row r="99" spans="1:34" ht="15.6" x14ac:dyDescent="0.3">
      <c r="A99" s="17"/>
      <c r="G99" s="21"/>
      <c r="H99" s="20"/>
      <c r="I99" s="20"/>
      <c r="J99" s="20"/>
      <c r="K99" s="20"/>
      <c r="L99" s="20"/>
      <c r="N99" s="20"/>
      <c r="O99" s="21"/>
      <c r="P99" s="20"/>
      <c r="Q99" s="21"/>
      <c r="U99" s="21"/>
      <c r="V99" s="14"/>
      <c r="W99" s="14"/>
      <c r="X99" s="14"/>
      <c r="Y99" s="14"/>
      <c r="AE99" s="14"/>
      <c r="AF99" s="18"/>
      <c r="AG99" s="18"/>
      <c r="AH99" s="18"/>
    </row>
    <row r="100" spans="1:34" ht="15.6" x14ac:dyDescent="0.3">
      <c r="A100" s="17"/>
      <c r="G100" s="21"/>
      <c r="H100" s="20"/>
      <c r="I100" s="20"/>
      <c r="J100" s="20"/>
      <c r="K100" s="20"/>
      <c r="L100" s="20"/>
      <c r="N100" s="20"/>
      <c r="O100" s="21"/>
      <c r="P100" s="20"/>
      <c r="Q100" s="21"/>
      <c r="U100" s="21"/>
      <c r="V100" s="14"/>
      <c r="W100" s="14"/>
      <c r="X100" s="14"/>
      <c r="Y100" s="14"/>
      <c r="AE100" s="14"/>
      <c r="AF100" s="18"/>
      <c r="AG100" s="18"/>
      <c r="AH100" s="18"/>
    </row>
    <row r="101" spans="1:34" ht="15.6" x14ac:dyDescent="0.3">
      <c r="A101" s="17"/>
      <c r="G101" s="21"/>
      <c r="H101" s="20"/>
      <c r="I101" s="20"/>
      <c r="J101" s="20"/>
      <c r="K101" s="20"/>
      <c r="L101" s="20"/>
      <c r="N101" s="20"/>
      <c r="O101" s="21"/>
      <c r="P101" s="20"/>
      <c r="Q101" s="21"/>
      <c r="U101" s="21"/>
      <c r="V101" s="14"/>
      <c r="W101" s="14"/>
      <c r="X101" s="14"/>
      <c r="Y101" s="14"/>
      <c r="AE101" s="14"/>
      <c r="AF101" s="18"/>
      <c r="AG101" s="18"/>
      <c r="AH101" s="18"/>
    </row>
    <row r="102" spans="1:34" ht="15.6" x14ac:dyDescent="0.3">
      <c r="A102" s="17"/>
      <c r="G102" s="21"/>
      <c r="H102" s="20"/>
      <c r="I102" s="20"/>
      <c r="J102" s="20"/>
      <c r="K102" s="20"/>
      <c r="L102" s="20"/>
      <c r="M102" s="21"/>
      <c r="N102" s="20"/>
      <c r="O102" s="21"/>
      <c r="P102" s="20"/>
      <c r="Q102" s="21"/>
      <c r="R102" s="21"/>
      <c r="S102" s="21"/>
      <c r="T102" s="21"/>
      <c r="U102" s="21"/>
      <c r="V102" s="14"/>
      <c r="W102" s="14"/>
      <c r="X102" s="14"/>
      <c r="Y102" s="14"/>
      <c r="AE102" s="14"/>
      <c r="AF102" s="18"/>
      <c r="AG102" s="18"/>
      <c r="AH102" s="18"/>
    </row>
    <row r="103" spans="1:34" ht="15.6" x14ac:dyDescent="0.3">
      <c r="A103" s="17"/>
      <c r="G103" s="21"/>
      <c r="H103" s="20"/>
      <c r="I103" s="20"/>
      <c r="J103" s="20"/>
      <c r="K103" s="20"/>
      <c r="L103" s="20"/>
      <c r="M103" s="21"/>
      <c r="N103" s="20"/>
      <c r="O103" s="21"/>
      <c r="P103" s="20"/>
      <c r="Q103" s="21"/>
      <c r="R103" s="21"/>
      <c r="S103" s="21"/>
      <c r="U103" s="21"/>
      <c r="V103" s="14"/>
      <c r="W103" s="14"/>
      <c r="X103" s="14"/>
      <c r="Y103" s="14"/>
      <c r="AE103" s="14"/>
      <c r="AF103" s="18"/>
      <c r="AG103" s="18"/>
      <c r="AH103" s="18"/>
    </row>
    <row r="104" spans="1:34" ht="15.6" x14ac:dyDescent="0.3">
      <c r="A104" s="17"/>
      <c r="G104" s="21"/>
      <c r="H104" s="20"/>
      <c r="I104" s="20"/>
      <c r="J104" s="20"/>
      <c r="K104" s="20"/>
      <c r="L104" s="20"/>
      <c r="M104" s="21"/>
      <c r="N104" s="20"/>
      <c r="O104" s="21"/>
      <c r="P104" s="20"/>
      <c r="Q104" s="21"/>
      <c r="R104" s="21"/>
      <c r="S104" s="21"/>
      <c r="U104" s="21"/>
      <c r="V104" s="14"/>
      <c r="W104" s="14"/>
      <c r="X104" s="14"/>
      <c r="Y104" s="14"/>
      <c r="AE104" s="14"/>
      <c r="AF104" s="18"/>
      <c r="AG104" s="18"/>
      <c r="AH104" s="18"/>
    </row>
    <row r="105" spans="1:34" ht="15.6" x14ac:dyDescent="0.3">
      <c r="A105" s="17"/>
      <c r="F105" s="21"/>
      <c r="G105" s="21"/>
      <c r="H105" s="20"/>
      <c r="I105" s="20"/>
      <c r="J105" s="20"/>
      <c r="K105" s="20"/>
      <c r="L105" s="20"/>
      <c r="M105" s="21"/>
      <c r="N105" s="20"/>
      <c r="O105" s="21"/>
      <c r="P105" s="20"/>
      <c r="Q105" s="21"/>
      <c r="R105" s="21"/>
      <c r="S105" s="21"/>
      <c r="T105" s="21"/>
      <c r="U105" s="21"/>
      <c r="V105" s="14"/>
      <c r="W105" s="14"/>
      <c r="X105" s="14"/>
      <c r="Y105" s="14"/>
      <c r="AE105" s="14"/>
      <c r="AF105" s="18"/>
      <c r="AG105" s="18"/>
      <c r="AH105" s="18"/>
    </row>
    <row r="106" spans="1:34" ht="15.6" x14ac:dyDescent="0.3">
      <c r="A106" s="17"/>
      <c r="G106" s="21"/>
      <c r="H106" s="20"/>
      <c r="I106" s="20"/>
      <c r="J106" s="20"/>
      <c r="K106" s="20"/>
      <c r="L106" s="20"/>
      <c r="M106" s="21"/>
      <c r="N106" s="20"/>
      <c r="O106" s="21"/>
      <c r="P106" s="20"/>
      <c r="Q106" s="21"/>
      <c r="R106" s="21"/>
      <c r="S106" s="21"/>
      <c r="U106" s="21"/>
      <c r="V106" s="14"/>
      <c r="W106" s="14"/>
      <c r="X106" s="14"/>
      <c r="Y106" s="14"/>
      <c r="AE106" s="14"/>
      <c r="AF106" s="18"/>
      <c r="AG106" s="18"/>
      <c r="AH106" s="18"/>
    </row>
    <row r="107" spans="1:34" ht="15.6" x14ac:dyDescent="0.3">
      <c r="A107" s="17"/>
      <c r="G107" s="21"/>
      <c r="H107" s="20"/>
      <c r="I107" s="20"/>
      <c r="J107" s="20"/>
      <c r="K107" s="20"/>
      <c r="L107" s="20"/>
      <c r="M107" s="21"/>
      <c r="N107" s="20"/>
      <c r="O107" s="21"/>
      <c r="P107" s="20"/>
      <c r="Q107" s="21"/>
      <c r="R107" s="21"/>
      <c r="S107" s="21"/>
      <c r="U107" s="21"/>
      <c r="V107" s="14"/>
      <c r="W107" s="14"/>
      <c r="X107" s="14"/>
      <c r="Y107" s="14"/>
      <c r="AE107" s="14"/>
      <c r="AF107" s="18"/>
      <c r="AG107" s="18"/>
      <c r="AH107" s="18"/>
    </row>
    <row r="108" spans="1:34" ht="15.6" x14ac:dyDescent="0.3">
      <c r="A108" s="17"/>
      <c r="B108" s="21"/>
      <c r="C108" s="21"/>
      <c r="F108" s="21"/>
      <c r="G108" s="21"/>
      <c r="H108" s="20"/>
      <c r="I108" s="20"/>
      <c r="J108" s="20"/>
      <c r="K108" s="20"/>
      <c r="L108" s="20"/>
      <c r="M108" s="21"/>
      <c r="N108" s="20"/>
      <c r="O108" s="21"/>
      <c r="P108" s="20"/>
      <c r="Q108" s="21"/>
      <c r="R108" s="21"/>
      <c r="S108" s="21"/>
      <c r="T108" s="21"/>
      <c r="U108" s="21"/>
      <c r="V108" s="14"/>
      <c r="W108" s="14"/>
      <c r="X108" s="14"/>
      <c r="Y108" s="14"/>
      <c r="AE108" s="14"/>
      <c r="AF108" s="18"/>
      <c r="AG108" s="18"/>
      <c r="AH108" s="18"/>
    </row>
    <row r="109" spans="1:34" ht="15.6" x14ac:dyDescent="0.3">
      <c r="A109" s="17"/>
      <c r="G109" s="21"/>
      <c r="H109" s="20"/>
      <c r="I109" s="20"/>
      <c r="J109" s="20"/>
      <c r="K109" s="20"/>
      <c r="L109" s="20"/>
      <c r="M109" s="21"/>
      <c r="N109" s="20"/>
      <c r="O109" s="21"/>
      <c r="P109" s="20"/>
      <c r="Q109" s="21"/>
      <c r="R109" s="21"/>
      <c r="S109" s="21"/>
      <c r="U109" s="21"/>
      <c r="V109" s="14"/>
      <c r="W109" s="14"/>
      <c r="X109" s="14"/>
      <c r="Y109" s="14"/>
      <c r="AE109" s="14"/>
      <c r="AF109" s="18"/>
      <c r="AG109" s="18"/>
      <c r="AH109" s="18"/>
    </row>
    <row r="110" spans="1:34" ht="15.6" x14ac:dyDescent="0.3">
      <c r="A110" s="17"/>
      <c r="B110" s="21"/>
      <c r="C110" s="21"/>
      <c r="F110" s="21"/>
      <c r="G110" s="21"/>
      <c r="H110" s="20"/>
      <c r="I110" s="20"/>
      <c r="J110" s="20"/>
      <c r="K110" s="20"/>
      <c r="L110" s="20"/>
      <c r="M110" s="21"/>
      <c r="N110" s="20"/>
      <c r="O110" s="21"/>
      <c r="P110" s="20"/>
      <c r="Q110" s="21"/>
      <c r="R110" s="21"/>
      <c r="S110" s="21"/>
      <c r="T110" s="21"/>
      <c r="U110" s="21"/>
      <c r="V110" s="14"/>
      <c r="W110" s="14"/>
      <c r="X110" s="14"/>
      <c r="Y110" s="14"/>
      <c r="AE110" s="14"/>
      <c r="AF110" s="18"/>
      <c r="AG110" s="18"/>
      <c r="AH110" s="18"/>
    </row>
    <row r="111" spans="1:34" ht="15.6" x14ac:dyDescent="0.3">
      <c r="A111" s="17"/>
      <c r="G111" s="21"/>
      <c r="H111" s="20"/>
      <c r="I111" s="20"/>
      <c r="J111" s="20"/>
      <c r="K111" s="20"/>
      <c r="L111" s="20"/>
      <c r="M111" s="21"/>
      <c r="N111" s="20"/>
      <c r="O111" s="21"/>
      <c r="P111" s="20"/>
      <c r="Q111" s="21"/>
      <c r="R111" s="21"/>
      <c r="S111" s="21"/>
      <c r="U111" s="21"/>
      <c r="V111" s="14"/>
      <c r="W111" s="14"/>
      <c r="X111" s="14"/>
      <c r="Y111" s="14"/>
      <c r="AE111" s="14"/>
      <c r="AF111" s="18"/>
      <c r="AG111" s="18"/>
      <c r="AH111" s="18"/>
    </row>
    <row r="112" spans="1:34" ht="15.6" x14ac:dyDescent="0.3">
      <c r="A112" s="17"/>
      <c r="G112" s="21"/>
      <c r="H112" s="20"/>
      <c r="I112" s="20"/>
      <c r="J112" s="20"/>
      <c r="K112" s="20"/>
      <c r="L112" s="20"/>
      <c r="N112" s="20"/>
      <c r="O112" s="21"/>
      <c r="P112" s="20"/>
      <c r="Q112" s="21"/>
      <c r="R112" s="21"/>
      <c r="S112" s="21"/>
      <c r="V112" s="14"/>
      <c r="W112" s="14"/>
      <c r="X112" s="14"/>
      <c r="Y112" s="14"/>
      <c r="AE112" s="14"/>
      <c r="AF112" s="18"/>
      <c r="AG112" s="18"/>
      <c r="AH112" s="18"/>
    </row>
    <row r="113" spans="1:34" ht="15.6" x14ac:dyDescent="0.3">
      <c r="A113" s="17"/>
      <c r="G113" s="21"/>
      <c r="H113" s="20"/>
      <c r="I113" s="20"/>
      <c r="J113" s="20"/>
      <c r="K113" s="20"/>
      <c r="L113" s="20"/>
      <c r="N113" s="20"/>
      <c r="O113" s="21"/>
      <c r="P113" s="20"/>
      <c r="Q113" s="21"/>
      <c r="R113" s="21"/>
      <c r="S113" s="21"/>
      <c r="U113" s="21"/>
      <c r="V113" s="14"/>
      <c r="W113" s="14"/>
      <c r="X113" s="14"/>
      <c r="Y113" s="14"/>
      <c r="AE113" s="14"/>
      <c r="AF113" s="18"/>
      <c r="AG113" s="18"/>
      <c r="AH113" s="18"/>
    </row>
    <row r="114" spans="1:34" ht="15.6" x14ac:dyDescent="0.3">
      <c r="A114" s="17"/>
      <c r="G114" s="21"/>
      <c r="H114" s="20"/>
      <c r="I114" s="20"/>
      <c r="J114" s="20"/>
      <c r="K114" s="20"/>
      <c r="L114" s="20"/>
      <c r="N114" s="20"/>
      <c r="O114" s="21"/>
      <c r="P114" s="20"/>
      <c r="Q114" s="21"/>
      <c r="R114" s="21"/>
      <c r="S114" s="21"/>
      <c r="T114" s="21"/>
      <c r="U114" s="21"/>
      <c r="V114" s="14"/>
      <c r="W114" s="14"/>
      <c r="X114" s="14"/>
      <c r="Y114" s="14"/>
      <c r="AE114" s="14"/>
      <c r="AF114" s="18"/>
      <c r="AG114" s="18"/>
      <c r="AH114" s="18"/>
    </row>
    <row r="115" spans="1:34" ht="15.6" x14ac:dyDescent="0.3">
      <c r="A115" s="17"/>
      <c r="G115" s="21"/>
      <c r="H115" s="20"/>
      <c r="I115" s="20"/>
      <c r="J115" s="20"/>
      <c r="K115" s="20"/>
      <c r="L115" s="20"/>
      <c r="M115" s="21"/>
      <c r="N115" s="20"/>
      <c r="O115" s="21"/>
      <c r="P115" s="20"/>
      <c r="Q115" s="21"/>
      <c r="R115" s="21"/>
      <c r="S115" s="21"/>
      <c r="U115" s="21"/>
      <c r="V115" s="14"/>
      <c r="W115" s="14"/>
      <c r="X115" s="14"/>
      <c r="Y115" s="14"/>
      <c r="AE115" s="14"/>
      <c r="AF115" s="18"/>
      <c r="AG115" s="18"/>
      <c r="AH115" s="18"/>
    </row>
    <row r="116" spans="1:34" ht="15.6" x14ac:dyDescent="0.3">
      <c r="A116" s="17"/>
      <c r="H116" s="20"/>
      <c r="I116" s="20"/>
      <c r="J116" s="20"/>
      <c r="K116" s="20"/>
      <c r="L116" s="20"/>
      <c r="N116" s="20"/>
      <c r="O116" s="21"/>
      <c r="P116" s="20"/>
      <c r="Q116" s="21"/>
      <c r="U116" s="21"/>
      <c r="V116" s="14"/>
      <c r="W116" s="14"/>
      <c r="X116" s="14"/>
      <c r="Y116" s="14"/>
      <c r="AE116" s="14"/>
      <c r="AF116" s="18"/>
      <c r="AG116" s="18"/>
      <c r="AH116" s="18"/>
    </row>
    <row r="117" spans="1:34" ht="15.6" x14ac:dyDescent="0.3">
      <c r="A117" s="17"/>
      <c r="G117" s="21"/>
      <c r="H117" s="20"/>
      <c r="I117" s="20"/>
      <c r="J117" s="20"/>
      <c r="K117" s="20"/>
      <c r="L117" s="20"/>
      <c r="M117" s="21"/>
      <c r="N117" s="20"/>
      <c r="O117" s="21"/>
      <c r="P117" s="20"/>
      <c r="Q117" s="21"/>
      <c r="R117" s="21"/>
      <c r="S117" s="21"/>
      <c r="T117" s="21"/>
      <c r="U117" s="21"/>
      <c r="V117" s="14"/>
      <c r="W117" s="14"/>
      <c r="X117" s="14"/>
      <c r="Y117" s="14"/>
      <c r="AE117" s="14"/>
      <c r="AF117" s="18"/>
      <c r="AG117" s="18"/>
      <c r="AH117" s="18"/>
    </row>
    <row r="118" spans="1:34" ht="15.6" x14ac:dyDescent="0.3">
      <c r="A118" s="17"/>
      <c r="G118" s="21"/>
      <c r="H118" s="20"/>
      <c r="I118" s="20"/>
      <c r="J118" s="20"/>
      <c r="K118" s="20"/>
      <c r="L118" s="20"/>
      <c r="M118" s="21"/>
      <c r="N118" s="20"/>
      <c r="O118" s="21"/>
      <c r="P118" s="20"/>
      <c r="Q118" s="21"/>
      <c r="R118" s="21"/>
      <c r="S118" s="21"/>
      <c r="U118" s="21"/>
      <c r="V118" s="14"/>
      <c r="W118" s="14"/>
      <c r="X118" s="14"/>
      <c r="Y118" s="14"/>
      <c r="AE118" s="14"/>
      <c r="AF118" s="18"/>
      <c r="AG118" s="18"/>
      <c r="AH118" s="18"/>
    </row>
    <row r="119" spans="1:34" ht="15.6" x14ac:dyDescent="0.3">
      <c r="A119" s="17"/>
      <c r="G119" s="21"/>
      <c r="H119" s="20"/>
      <c r="I119" s="20"/>
      <c r="J119" s="20"/>
      <c r="K119" s="20"/>
      <c r="L119" s="20"/>
      <c r="M119" s="21"/>
      <c r="N119" s="20"/>
      <c r="O119" s="21"/>
      <c r="P119" s="20"/>
      <c r="Q119" s="21"/>
      <c r="R119" s="21"/>
      <c r="S119" s="21"/>
      <c r="U119" s="21"/>
      <c r="V119" s="14"/>
      <c r="W119" s="14"/>
      <c r="X119" s="14"/>
      <c r="Y119" s="14"/>
      <c r="AE119" s="14"/>
      <c r="AF119" s="18"/>
      <c r="AG119" s="18"/>
      <c r="AH119" s="18"/>
    </row>
    <row r="120" spans="1:34" ht="15.6" x14ac:dyDescent="0.3">
      <c r="A120" s="17"/>
      <c r="G120" s="21"/>
      <c r="H120" s="20"/>
      <c r="I120" s="20"/>
      <c r="J120" s="20"/>
      <c r="K120" s="20"/>
      <c r="L120" s="20"/>
      <c r="M120" s="21"/>
      <c r="N120" s="20"/>
      <c r="O120" s="21"/>
      <c r="P120" s="20"/>
      <c r="Q120" s="21"/>
      <c r="R120" s="21"/>
      <c r="S120" s="21"/>
      <c r="U120" s="21"/>
      <c r="V120" s="14"/>
      <c r="W120" s="14"/>
      <c r="X120" s="14"/>
      <c r="Y120" s="14"/>
      <c r="AE120" s="14"/>
      <c r="AF120" s="18"/>
      <c r="AG120" s="18"/>
      <c r="AH120" s="18"/>
    </row>
    <row r="121" spans="1:34" ht="15.6" x14ac:dyDescent="0.3">
      <c r="A121" s="17"/>
      <c r="G121" s="21"/>
      <c r="H121" s="20"/>
      <c r="I121" s="20"/>
      <c r="J121" s="20"/>
      <c r="K121" s="20"/>
      <c r="L121" s="20"/>
      <c r="M121" s="21"/>
      <c r="N121" s="20"/>
      <c r="O121" s="21"/>
      <c r="P121" s="20"/>
      <c r="Q121" s="21"/>
      <c r="R121" s="21"/>
      <c r="S121" s="21"/>
      <c r="U121" s="21"/>
      <c r="V121" s="14"/>
      <c r="W121" s="14"/>
      <c r="X121" s="14"/>
      <c r="Y121" s="14"/>
      <c r="AE121" s="14"/>
      <c r="AF121" s="18"/>
      <c r="AG121" s="18"/>
      <c r="AH121" s="18"/>
    </row>
    <row r="122" spans="1:34" ht="15.6" x14ac:dyDescent="0.3">
      <c r="A122" s="17"/>
      <c r="G122" s="21"/>
      <c r="H122" s="20"/>
      <c r="I122" s="20"/>
      <c r="J122" s="20"/>
      <c r="K122" s="20"/>
      <c r="L122" s="20"/>
      <c r="M122" s="21"/>
      <c r="N122" s="20"/>
      <c r="O122" s="21"/>
      <c r="P122" s="20"/>
      <c r="Q122" s="21"/>
      <c r="R122" s="21"/>
      <c r="S122" s="21"/>
      <c r="T122" s="21"/>
      <c r="U122" s="21"/>
      <c r="V122" s="14"/>
      <c r="W122" s="14"/>
      <c r="X122" s="14"/>
      <c r="Y122" s="14"/>
      <c r="AE122" s="14"/>
      <c r="AF122" s="18"/>
      <c r="AG122" s="18"/>
      <c r="AH122" s="18"/>
    </row>
    <row r="123" spans="1:34" ht="15.6" x14ac:dyDescent="0.3">
      <c r="A123" s="17"/>
      <c r="G123" s="21"/>
      <c r="H123" s="20"/>
      <c r="I123" s="20"/>
      <c r="J123" s="20"/>
      <c r="K123" s="20"/>
      <c r="L123" s="20"/>
      <c r="N123" s="20"/>
      <c r="O123" s="21"/>
      <c r="P123" s="20"/>
      <c r="Q123" s="21"/>
      <c r="U123" s="21"/>
      <c r="V123" s="14"/>
      <c r="W123" s="14"/>
      <c r="X123" s="14"/>
      <c r="Y123" s="14"/>
      <c r="AE123" s="14"/>
      <c r="AF123" s="18"/>
      <c r="AG123" s="18"/>
      <c r="AH123" s="18"/>
    </row>
    <row r="124" spans="1:34" ht="15.6" x14ac:dyDescent="0.3">
      <c r="A124" s="17"/>
      <c r="G124" s="21"/>
      <c r="H124" s="20"/>
      <c r="I124" s="20"/>
      <c r="J124" s="20"/>
      <c r="K124" s="20"/>
      <c r="L124" s="20"/>
      <c r="N124" s="20"/>
      <c r="O124" s="21"/>
      <c r="P124" s="20"/>
      <c r="Q124" s="21"/>
      <c r="U124" s="21"/>
      <c r="V124" s="14"/>
      <c r="W124" s="14"/>
      <c r="X124" s="14"/>
      <c r="Y124" s="14"/>
      <c r="AE124" s="14"/>
      <c r="AF124" s="18"/>
      <c r="AG124" s="18"/>
      <c r="AH124" s="18"/>
    </row>
    <row r="125" spans="1:34" ht="15.6" x14ac:dyDescent="0.3">
      <c r="A125" s="17"/>
      <c r="H125" s="20"/>
      <c r="I125" s="20"/>
      <c r="J125" s="20"/>
      <c r="K125" s="20"/>
      <c r="L125" s="20"/>
      <c r="N125" s="20"/>
      <c r="O125" s="21"/>
      <c r="P125" s="20"/>
      <c r="Q125" s="21"/>
      <c r="U125" s="21"/>
      <c r="V125" s="14"/>
      <c r="W125" s="14"/>
      <c r="X125" s="14"/>
      <c r="Y125" s="14"/>
      <c r="AE125" s="14"/>
      <c r="AF125" s="18"/>
      <c r="AG125" s="18"/>
      <c r="AH125" s="18"/>
    </row>
    <row r="126" spans="1:34" ht="15.6" x14ac:dyDescent="0.3">
      <c r="A126" s="17"/>
      <c r="F126" s="21"/>
      <c r="G126" s="21"/>
      <c r="H126" s="20"/>
      <c r="I126" s="20"/>
      <c r="J126" s="20"/>
      <c r="K126" s="20"/>
      <c r="L126" s="20"/>
      <c r="M126" s="21"/>
      <c r="N126" s="20"/>
      <c r="O126" s="21"/>
      <c r="P126" s="20"/>
      <c r="Q126" s="21"/>
      <c r="R126" s="21"/>
      <c r="S126" s="21"/>
      <c r="T126" s="21"/>
      <c r="U126" s="21"/>
      <c r="V126" s="14"/>
      <c r="W126" s="14"/>
      <c r="X126" s="14"/>
      <c r="Y126" s="14"/>
      <c r="AE126" s="14"/>
      <c r="AF126" s="18"/>
      <c r="AG126" s="18"/>
      <c r="AH126" s="18"/>
    </row>
    <row r="127" spans="1:34" ht="15.6" x14ac:dyDescent="0.3">
      <c r="A127" s="17"/>
      <c r="G127" s="21"/>
      <c r="H127" s="20"/>
      <c r="I127" s="20"/>
      <c r="J127" s="20"/>
      <c r="K127" s="20"/>
      <c r="L127" s="20"/>
      <c r="M127" s="21"/>
      <c r="N127" s="20"/>
      <c r="O127" s="21"/>
      <c r="P127" s="20"/>
      <c r="Q127" s="21"/>
      <c r="R127" s="21"/>
      <c r="S127" s="21"/>
      <c r="U127" s="21"/>
      <c r="V127" s="14"/>
      <c r="W127" s="14"/>
      <c r="X127" s="14"/>
      <c r="Y127" s="14"/>
      <c r="AE127" s="14"/>
      <c r="AF127" s="18"/>
      <c r="AG127" s="18"/>
      <c r="AH127" s="18"/>
    </row>
    <row r="128" spans="1:34" ht="15.6" x14ac:dyDescent="0.3">
      <c r="A128" s="17"/>
      <c r="G128" s="21"/>
      <c r="H128" s="20"/>
      <c r="I128" s="20"/>
      <c r="J128" s="20"/>
      <c r="K128" s="20"/>
      <c r="L128" s="20"/>
      <c r="M128" s="21"/>
      <c r="N128" s="20"/>
      <c r="O128" s="21"/>
      <c r="P128" s="20"/>
      <c r="Q128" s="21"/>
      <c r="R128" s="21"/>
      <c r="S128" s="21"/>
      <c r="U128" s="21"/>
      <c r="V128" s="14"/>
      <c r="W128" s="14"/>
      <c r="X128" s="14"/>
      <c r="Y128" s="14"/>
      <c r="AE128" s="14"/>
      <c r="AF128" s="18"/>
      <c r="AG128" s="18"/>
      <c r="AH128" s="18"/>
    </row>
    <row r="129" spans="1:34" ht="15.6" x14ac:dyDescent="0.3">
      <c r="A129" s="17"/>
      <c r="G129" s="21"/>
      <c r="H129" s="20"/>
      <c r="I129" s="20"/>
      <c r="J129" s="20"/>
      <c r="K129" s="20"/>
      <c r="L129" s="20"/>
      <c r="M129" s="21"/>
      <c r="N129" s="20"/>
      <c r="O129" s="21"/>
      <c r="P129" s="20"/>
      <c r="Q129" s="21"/>
      <c r="R129" s="21"/>
      <c r="S129" s="21"/>
      <c r="T129" s="21"/>
      <c r="U129" s="21"/>
      <c r="V129" s="14"/>
      <c r="W129" s="14"/>
      <c r="X129" s="14"/>
      <c r="Y129" s="14"/>
      <c r="AE129" s="14"/>
      <c r="AF129" s="18"/>
      <c r="AG129" s="18"/>
      <c r="AH129" s="18"/>
    </row>
    <row r="130" spans="1:34" ht="15.6" x14ac:dyDescent="0.3">
      <c r="A130" s="17"/>
      <c r="G130" s="21"/>
      <c r="H130" s="20"/>
      <c r="I130" s="20"/>
      <c r="J130" s="20"/>
      <c r="K130" s="20"/>
      <c r="L130" s="20"/>
      <c r="M130" s="21"/>
      <c r="N130" s="20"/>
      <c r="O130" s="21"/>
      <c r="P130" s="20"/>
      <c r="Q130" s="21"/>
      <c r="R130" s="21"/>
      <c r="S130" s="21"/>
      <c r="U130" s="21"/>
      <c r="V130" s="14"/>
      <c r="W130" s="14"/>
      <c r="X130" s="14"/>
      <c r="Y130" s="14"/>
      <c r="AE130" s="14"/>
      <c r="AF130" s="18"/>
      <c r="AG130" s="18"/>
      <c r="AH130" s="18"/>
    </row>
    <row r="131" spans="1:34" ht="15.6" x14ac:dyDescent="0.3">
      <c r="A131" s="17"/>
      <c r="G131" s="21"/>
      <c r="H131" s="20"/>
      <c r="I131" s="20"/>
      <c r="J131" s="20"/>
      <c r="K131" s="20"/>
      <c r="L131" s="20"/>
      <c r="M131" s="21"/>
      <c r="N131" s="20"/>
      <c r="O131" s="21"/>
      <c r="P131" s="20"/>
      <c r="Q131" s="21"/>
      <c r="R131" s="21"/>
      <c r="S131" s="21"/>
      <c r="T131" s="21"/>
      <c r="U131" s="21"/>
      <c r="V131" s="14"/>
      <c r="W131" s="14"/>
      <c r="X131" s="14"/>
      <c r="Y131" s="14"/>
      <c r="AE131" s="14"/>
      <c r="AF131" s="18"/>
      <c r="AG131" s="18"/>
      <c r="AH131" s="18"/>
    </row>
    <row r="132" spans="1:34" ht="15.6" x14ac:dyDescent="0.3">
      <c r="A132" s="17"/>
      <c r="G132" s="21"/>
      <c r="H132" s="20"/>
      <c r="I132" s="20"/>
      <c r="J132" s="20"/>
      <c r="K132" s="20"/>
      <c r="L132" s="20"/>
      <c r="M132" s="21"/>
      <c r="N132" s="20"/>
      <c r="O132" s="21"/>
      <c r="P132" s="20"/>
      <c r="Q132" s="21"/>
      <c r="V132" s="14"/>
      <c r="W132" s="14"/>
      <c r="X132" s="14"/>
      <c r="Y132" s="14"/>
      <c r="AE132" s="14"/>
      <c r="AF132" s="18"/>
      <c r="AG132" s="18"/>
      <c r="AH132" s="18"/>
    </row>
    <row r="133" spans="1:34" ht="15.6" x14ac:dyDescent="0.3">
      <c r="A133" s="17"/>
      <c r="G133" s="21"/>
      <c r="H133" s="20"/>
      <c r="I133" s="20"/>
      <c r="J133" s="20"/>
      <c r="K133" s="20"/>
      <c r="L133" s="20"/>
      <c r="N133" s="20"/>
      <c r="O133" s="21"/>
      <c r="P133" s="20"/>
      <c r="Q133" s="21"/>
      <c r="U133" s="21"/>
      <c r="V133" s="14"/>
      <c r="W133" s="14"/>
      <c r="X133" s="14"/>
      <c r="Y133" s="14"/>
      <c r="AE133" s="14"/>
      <c r="AF133" s="18"/>
      <c r="AG133" s="18"/>
      <c r="AH133" s="18"/>
    </row>
    <row r="134" spans="1:34" ht="15.6" x14ac:dyDescent="0.3">
      <c r="A134" s="17"/>
      <c r="G134" s="21"/>
      <c r="H134" s="20"/>
      <c r="I134" s="20"/>
      <c r="J134" s="20"/>
      <c r="K134" s="20"/>
      <c r="L134" s="20"/>
      <c r="M134" s="21"/>
      <c r="N134" s="20"/>
      <c r="O134" s="21"/>
      <c r="P134" s="20"/>
      <c r="Q134" s="21"/>
      <c r="R134" s="21"/>
      <c r="S134" s="21"/>
      <c r="U134" s="21"/>
      <c r="V134" s="14"/>
      <c r="W134" s="14"/>
      <c r="X134" s="14"/>
      <c r="Y134" s="14"/>
      <c r="AE134" s="14"/>
      <c r="AF134" s="18"/>
      <c r="AG134" s="18"/>
      <c r="AH134" s="18"/>
    </row>
    <row r="135" spans="1:34" ht="15.6" x14ac:dyDescent="0.3">
      <c r="A135" s="17"/>
      <c r="G135" s="21"/>
      <c r="H135" s="20"/>
      <c r="I135" s="20"/>
      <c r="J135" s="20"/>
      <c r="K135" s="20"/>
      <c r="L135" s="20"/>
      <c r="M135" s="21"/>
      <c r="N135" s="20"/>
      <c r="O135" s="21"/>
      <c r="P135" s="20"/>
      <c r="Q135" s="21"/>
      <c r="R135" s="21"/>
      <c r="S135" s="21"/>
      <c r="U135" s="21"/>
      <c r="V135" s="14"/>
      <c r="W135" s="14"/>
      <c r="X135" s="14"/>
      <c r="Y135" s="14"/>
      <c r="AE135" s="14"/>
      <c r="AF135" s="18"/>
      <c r="AG135" s="18"/>
      <c r="AH135" s="18"/>
    </row>
    <row r="136" spans="1:34" ht="15.6" x14ac:dyDescent="0.3">
      <c r="A136" s="17"/>
      <c r="G136" s="21"/>
      <c r="H136" s="20"/>
      <c r="I136" s="20"/>
      <c r="J136" s="20"/>
      <c r="K136" s="20"/>
      <c r="L136" s="20"/>
      <c r="M136" s="21"/>
      <c r="N136" s="20"/>
      <c r="O136" s="21"/>
      <c r="P136" s="20"/>
      <c r="Q136" s="21"/>
      <c r="R136" s="21"/>
      <c r="S136" s="21"/>
      <c r="U136" s="21"/>
      <c r="V136" s="14"/>
      <c r="W136" s="14"/>
      <c r="X136" s="14"/>
      <c r="Y136" s="14"/>
      <c r="AE136" s="14"/>
      <c r="AF136" s="18"/>
      <c r="AG136" s="18"/>
      <c r="AH136" s="18"/>
    </row>
    <row r="137" spans="1:34" ht="15.6" x14ac:dyDescent="0.3">
      <c r="A137" s="17"/>
      <c r="G137" s="21"/>
      <c r="H137" s="20"/>
      <c r="I137" s="20"/>
      <c r="J137" s="20"/>
      <c r="K137" s="20"/>
      <c r="L137" s="20"/>
      <c r="N137" s="20"/>
      <c r="O137" s="21"/>
      <c r="P137" s="20"/>
      <c r="Q137" s="21"/>
      <c r="S137" s="21"/>
      <c r="U137" s="21"/>
      <c r="V137" s="14"/>
      <c r="W137" s="14"/>
      <c r="X137" s="14"/>
      <c r="Y137" s="14"/>
      <c r="AE137" s="14"/>
      <c r="AF137" s="18"/>
      <c r="AG137" s="18"/>
      <c r="AH137" s="18"/>
    </row>
    <row r="138" spans="1:34" ht="15.6" x14ac:dyDescent="0.3">
      <c r="A138" s="17"/>
      <c r="G138" s="21"/>
      <c r="H138" s="20"/>
      <c r="I138" s="20"/>
      <c r="J138" s="20"/>
      <c r="K138" s="20"/>
      <c r="L138" s="20"/>
      <c r="M138" s="21"/>
      <c r="N138" s="20"/>
      <c r="O138" s="21"/>
      <c r="P138" s="20"/>
      <c r="Q138" s="21"/>
      <c r="R138" s="20"/>
      <c r="S138" s="21"/>
      <c r="T138" s="21"/>
      <c r="U138" s="21"/>
      <c r="V138" s="14"/>
      <c r="W138" s="14"/>
      <c r="X138" s="14"/>
      <c r="Y138" s="14"/>
      <c r="AE138" s="14"/>
      <c r="AF138" s="18"/>
      <c r="AG138" s="18"/>
      <c r="AH138" s="18"/>
    </row>
    <row r="139" spans="1:34" ht="15.6" x14ac:dyDescent="0.3">
      <c r="A139" s="17"/>
      <c r="G139" s="21"/>
      <c r="H139" s="20"/>
      <c r="I139" s="20"/>
      <c r="J139" s="20"/>
      <c r="K139" s="20"/>
      <c r="L139" s="20"/>
      <c r="M139" s="21"/>
      <c r="N139" s="20"/>
      <c r="O139" s="21"/>
      <c r="P139" s="20"/>
      <c r="Q139" s="21"/>
      <c r="R139" s="20"/>
      <c r="S139" s="21"/>
      <c r="T139" s="21"/>
      <c r="U139" s="21"/>
      <c r="V139" s="14"/>
      <c r="W139" s="14"/>
      <c r="X139" s="14"/>
      <c r="Y139" s="14"/>
      <c r="AE139" s="14"/>
      <c r="AF139" s="18"/>
      <c r="AG139" s="18"/>
      <c r="AH139" s="18"/>
    </row>
    <row r="140" spans="1:34" ht="15.6" x14ac:dyDescent="0.3">
      <c r="A140" s="17"/>
      <c r="G140" s="21"/>
      <c r="H140" s="20"/>
      <c r="I140" s="20"/>
      <c r="J140" s="20"/>
      <c r="K140" s="20"/>
      <c r="L140" s="20"/>
      <c r="M140" s="21"/>
      <c r="N140" s="20"/>
      <c r="O140" s="21"/>
      <c r="P140" s="20"/>
      <c r="Q140" s="21"/>
      <c r="R140" s="20"/>
      <c r="S140" s="21"/>
      <c r="U140" s="21"/>
      <c r="V140" s="14"/>
      <c r="W140" s="14"/>
      <c r="X140" s="14"/>
      <c r="Y140" s="14"/>
      <c r="AE140" s="14"/>
      <c r="AF140" s="18"/>
      <c r="AG140" s="18"/>
      <c r="AH140" s="18"/>
    </row>
    <row r="141" spans="1:34" ht="15.6" x14ac:dyDescent="0.3">
      <c r="A141" s="17"/>
      <c r="F141" s="21"/>
      <c r="G141" s="21"/>
      <c r="H141" s="20"/>
      <c r="I141" s="20"/>
      <c r="J141" s="20"/>
      <c r="K141" s="20"/>
      <c r="L141" s="20"/>
      <c r="M141" s="21"/>
      <c r="N141" s="20"/>
      <c r="O141" s="21"/>
      <c r="P141" s="20"/>
      <c r="Q141" s="21"/>
      <c r="R141" s="20"/>
      <c r="S141" s="21"/>
      <c r="T141" s="21"/>
      <c r="U141" s="21"/>
      <c r="V141" s="14"/>
      <c r="W141" s="14"/>
      <c r="X141" s="14"/>
      <c r="Y141" s="14"/>
      <c r="AE141" s="14"/>
      <c r="AF141" s="18"/>
      <c r="AG141" s="18"/>
      <c r="AH141" s="18"/>
    </row>
    <row r="142" spans="1:34" ht="15.6" x14ac:dyDescent="0.3">
      <c r="A142" s="17"/>
      <c r="G142" s="21"/>
      <c r="H142" s="20"/>
      <c r="I142" s="20"/>
      <c r="J142" s="20"/>
      <c r="K142" s="20"/>
      <c r="L142" s="20"/>
      <c r="M142" s="21"/>
      <c r="N142" s="20"/>
      <c r="O142" s="21"/>
      <c r="P142" s="20"/>
      <c r="Q142" s="21"/>
      <c r="R142" s="20"/>
      <c r="S142" s="21"/>
      <c r="T142" s="21"/>
      <c r="U142" s="21"/>
      <c r="V142" s="14"/>
      <c r="W142" s="14"/>
      <c r="X142" s="14"/>
      <c r="Y142" s="14"/>
      <c r="AE142" s="14"/>
      <c r="AF142" s="18"/>
      <c r="AG142" s="18"/>
      <c r="AH142" s="18"/>
    </row>
    <row r="143" spans="1:34" ht="15.6" x14ac:dyDescent="0.3">
      <c r="A143" s="17"/>
      <c r="G143" s="21"/>
      <c r="H143" s="20"/>
      <c r="I143" s="20"/>
      <c r="J143" s="20"/>
      <c r="K143" s="20"/>
      <c r="L143" s="20"/>
      <c r="M143" s="21"/>
      <c r="N143" s="20"/>
      <c r="O143" s="21"/>
      <c r="P143" s="20"/>
      <c r="Q143" s="21"/>
      <c r="R143" s="20"/>
      <c r="S143" s="21"/>
      <c r="U143" s="21"/>
      <c r="V143" s="14"/>
      <c r="W143" s="14"/>
      <c r="X143" s="14"/>
      <c r="Y143" s="14"/>
      <c r="AE143" s="14"/>
      <c r="AF143" s="18"/>
      <c r="AG143" s="18"/>
      <c r="AH143" s="18"/>
    </row>
    <row r="144" spans="1:34" ht="15.6" x14ac:dyDescent="0.3">
      <c r="A144" s="17"/>
      <c r="F144" s="21"/>
      <c r="G144" s="21"/>
      <c r="H144" s="20"/>
      <c r="I144" s="20"/>
      <c r="J144" s="20"/>
      <c r="K144" s="20"/>
      <c r="L144" s="20"/>
      <c r="M144" s="21"/>
      <c r="N144" s="20"/>
      <c r="O144" s="21"/>
      <c r="P144" s="20"/>
      <c r="Q144" s="21"/>
      <c r="R144" s="20"/>
      <c r="S144" s="21"/>
      <c r="U144" s="21"/>
      <c r="V144" s="14"/>
      <c r="W144" s="14"/>
      <c r="X144" s="14"/>
      <c r="Y144" s="14"/>
      <c r="AE144" s="14"/>
      <c r="AF144" s="18"/>
      <c r="AG144" s="18"/>
      <c r="AH144" s="18"/>
    </row>
    <row r="145" spans="1:34" ht="15.6" x14ac:dyDescent="0.3">
      <c r="A145" s="17"/>
      <c r="G145" s="21"/>
      <c r="H145" s="20"/>
      <c r="I145" s="20"/>
      <c r="J145" s="20"/>
      <c r="K145" s="20"/>
      <c r="L145" s="20"/>
      <c r="M145" s="21"/>
      <c r="N145" s="20"/>
      <c r="O145" s="21"/>
      <c r="P145" s="20"/>
      <c r="Q145" s="21"/>
      <c r="R145" s="20"/>
      <c r="S145" s="21"/>
      <c r="U145" s="21"/>
      <c r="V145" s="14"/>
      <c r="W145" s="14"/>
      <c r="X145" s="14"/>
      <c r="Y145" s="14"/>
      <c r="AE145" s="14"/>
      <c r="AF145" s="18"/>
      <c r="AG145" s="18"/>
      <c r="AH145" s="18"/>
    </row>
    <row r="146" spans="1:34" ht="15.6" x14ac:dyDescent="0.3">
      <c r="A146" s="17"/>
      <c r="G146" s="21"/>
      <c r="H146" s="20"/>
      <c r="I146" s="20"/>
      <c r="J146" s="20"/>
      <c r="K146" s="20"/>
      <c r="L146" s="20"/>
      <c r="M146" s="21"/>
      <c r="N146" s="20"/>
      <c r="O146" s="21"/>
      <c r="P146" s="20"/>
      <c r="Q146" s="21"/>
      <c r="R146" s="20"/>
      <c r="S146" s="21"/>
      <c r="T146" s="21"/>
      <c r="U146" s="21"/>
      <c r="V146" s="14"/>
      <c r="W146" s="14"/>
      <c r="X146" s="14"/>
      <c r="Y146" s="14"/>
      <c r="AE146" s="14"/>
      <c r="AF146" s="18"/>
      <c r="AG146" s="18"/>
      <c r="AH146" s="18"/>
    </row>
    <row r="147" spans="1:34" ht="15.6" x14ac:dyDescent="0.3">
      <c r="A147" s="17"/>
      <c r="G147" s="21"/>
      <c r="H147" s="20"/>
      <c r="I147" s="20"/>
      <c r="J147" s="20"/>
      <c r="K147" s="20"/>
      <c r="L147" s="20"/>
      <c r="N147" s="20"/>
      <c r="O147" s="21"/>
      <c r="P147" s="20"/>
      <c r="Q147" s="21"/>
      <c r="R147" s="20"/>
      <c r="V147" s="14"/>
      <c r="W147" s="14"/>
      <c r="X147" s="14"/>
      <c r="Y147" s="14"/>
      <c r="AE147" s="14"/>
      <c r="AF147" s="18"/>
      <c r="AG147" s="18"/>
      <c r="AH147" s="18"/>
    </row>
    <row r="148" spans="1:34" ht="15.6" x14ac:dyDescent="0.3">
      <c r="A148" s="17"/>
      <c r="G148" s="21"/>
      <c r="H148" s="20"/>
      <c r="I148" s="20"/>
      <c r="J148" s="20"/>
      <c r="K148" s="20"/>
      <c r="L148" s="20"/>
      <c r="N148" s="20"/>
      <c r="O148" s="21"/>
      <c r="P148" s="20"/>
      <c r="Q148" s="21"/>
      <c r="R148" s="21"/>
      <c r="S148" s="21"/>
      <c r="T148" s="21"/>
      <c r="U148" s="21"/>
      <c r="V148" s="14"/>
      <c r="W148" s="14"/>
      <c r="X148" s="14"/>
      <c r="Y148" s="14"/>
      <c r="AE148" s="14"/>
      <c r="AF148" s="18"/>
      <c r="AG148" s="18"/>
      <c r="AH148" s="18"/>
    </row>
    <row r="149" spans="1:34" ht="15.6" x14ac:dyDescent="0.3">
      <c r="A149" s="17"/>
      <c r="G149" s="21"/>
      <c r="H149" s="20"/>
      <c r="I149" s="20"/>
      <c r="J149" s="20"/>
      <c r="K149" s="20"/>
      <c r="L149" s="20"/>
      <c r="M149" s="21"/>
      <c r="N149" s="20"/>
      <c r="O149" s="21"/>
      <c r="P149" s="20"/>
      <c r="Q149" s="21"/>
      <c r="R149" s="20"/>
      <c r="S149" s="21"/>
      <c r="U149" s="21"/>
      <c r="V149" s="14"/>
      <c r="W149" s="14"/>
      <c r="X149" s="14"/>
      <c r="Y149" s="14"/>
      <c r="AE149" s="14"/>
      <c r="AF149" s="18"/>
      <c r="AG149" s="18"/>
      <c r="AH149" s="18"/>
    </row>
    <row r="150" spans="1:34" ht="15.6" x14ac:dyDescent="0.3">
      <c r="A150" s="17"/>
      <c r="G150" s="21"/>
      <c r="H150" s="20"/>
      <c r="I150" s="20"/>
      <c r="J150" s="20"/>
      <c r="K150" s="20"/>
      <c r="L150" s="20"/>
      <c r="M150" s="21"/>
      <c r="N150" s="20"/>
      <c r="O150" s="21"/>
      <c r="P150" s="20"/>
      <c r="Q150" s="21"/>
      <c r="R150" s="20"/>
      <c r="S150" s="21"/>
      <c r="U150" s="21"/>
      <c r="V150" s="14"/>
      <c r="W150" s="14"/>
      <c r="X150" s="14"/>
      <c r="Y150" s="14"/>
      <c r="AE150" s="14"/>
      <c r="AF150" s="18"/>
      <c r="AG150" s="18"/>
      <c r="AH150" s="18"/>
    </row>
    <row r="151" spans="1:34" ht="15.6" x14ac:dyDescent="0.3">
      <c r="A151" s="17"/>
      <c r="H151" s="20"/>
      <c r="I151" s="20"/>
      <c r="J151" s="20"/>
      <c r="K151" s="20"/>
      <c r="L151" s="20"/>
      <c r="M151" s="21"/>
      <c r="N151" s="20"/>
      <c r="O151" s="21"/>
      <c r="P151" s="20"/>
      <c r="Q151" s="21"/>
      <c r="R151" s="20"/>
      <c r="S151" s="21"/>
      <c r="T151" s="21"/>
      <c r="U151" s="21"/>
      <c r="V151" s="14"/>
      <c r="W151" s="14"/>
      <c r="X151" s="14"/>
      <c r="Y151" s="14"/>
      <c r="AE151" s="14"/>
      <c r="AF151" s="18"/>
      <c r="AG151" s="18"/>
      <c r="AH151" s="18"/>
    </row>
    <row r="152" spans="1:34" ht="15.6" x14ac:dyDescent="0.3">
      <c r="A152" s="17"/>
      <c r="H152" s="20"/>
      <c r="I152" s="20"/>
      <c r="J152" s="20"/>
      <c r="K152" s="20"/>
      <c r="L152" s="20"/>
      <c r="M152" s="21"/>
      <c r="N152" s="20"/>
      <c r="O152" s="21"/>
      <c r="P152" s="20"/>
      <c r="Q152" s="21"/>
      <c r="R152" s="20"/>
      <c r="S152" s="21"/>
      <c r="U152" s="21"/>
      <c r="V152" s="14"/>
      <c r="W152" s="14"/>
      <c r="X152" s="14"/>
      <c r="Y152" s="14"/>
      <c r="AE152" s="14"/>
      <c r="AF152" s="18"/>
      <c r="AG152" s="18"/>
      <c r="AH152" s="18"/>
    </row>
    <row r="153" spans="1:34" ht="15.6" x14ac:dyDescent="0.3">
      <c r="A153" s="17"/>
      <c r="D153" s="21"/>
      <c r="E153" s="21"/>
      <c r="F153" s="21"/>
      <c r="G153" s="21"/>
      <c r="H153" s="20"/>
      <c r="I153" s="20"/>
      <c r="J153" s="20"/>
      <c r="K153" s="20"/>
      <c r="L153" s="20"/>
      <c r="M153" s="21"/>
      <c r="N153" s="20"/>
      <c r="O153" s="21"/>
      <c r="P153" s="20"/>
      <c r="Q153" s="21"/>
      <c r="R153" s="20"/>
      <c r="S153" s="21"/>
      <c r="U153" s="21"/>
      <c r="V153" s="14"/>
      <c r="W153" s="14"/>
      <c r="X153" s="14"/>
      <c r="Y153" s="14"/>
      <c r="AE153" s="14"/>
      <c r="AF153" s="18"/>
      <c r="AG153" s="18"/>
      <c r="AH153" s="18"/>
    </row>
    <row r="154" spans="1:34" ht="15.6" x14ac:dyDescent="0.3">
      <c r="A154" s="17"/>
      <c r="B154" s="21"/>
      <c r="C154" s="21"/>
      <c r="F154" s="21"/>
      <c r="H154" s="20"/>
      <c r="I154" s="20"/>
      <c r="J154" s="20"/>
      <c r="K154" s="20"/>
      <c r="L154" s="20"/>
      <c r="M154" s="21"/>
      <c r="N154" s="20"/>
      <c r="O154" s="21"/>
      <c r="P154" s="20"/>
      <c r="Q154" s="21"/>
      <c r="R154" s="20"/>
      <c r="S154" s="21"/>
      <c r="T154" s="21"/>
      <c r="U154" s="21"/>
      <c r="V154" s="14"/>
      <c r="W154" s="14"/>
      <c r="X154" s="14"/>
      <c r="Y154" s="14"/>
      <c r="AE154" s="14"/>
      <c r="AF154" s="18"/>
      <c r="AG154" s="18"/>
      <c r="AH154" s="18"/>
    </row>
    <row r="155" spans="1:34" ht="15.6" x14ac:dyDescent="0.3">
      <c r="A155" s="17"/>
      <c r="H155" s="20"/>
      <c r="I155" s="20"/>
      <c r="J155" s="20"/>
      <c r="K155" s="20"/>
      <c r="L155" s="20"/>
      <c r="M155" s="21"/>
      <c r="N155" s="20"/>
      <c r="O155" s="21"/>
      <c r="P155" s="20"/>
      <c r="Q155" s="21"/>
      <c r="R155" s="20"/>
      <c r="S155" s="21"/>
      <c r="U155" s="21"/>
      <c r="V155" s="14"/>
      <c r="W155" s="14"/>
      <c r="X155" s="14"/>
      <c r="Y155" s="14"/>
      <c r="AE155" s="14"/>
      <c r="AF155" s="18"/>
      <c r="AG155" s="18"/>
      <c r="AH155" s="18"/>
    </row>
    <row r="156" spans="1:34" ht="15.6" x14ac:dyDescent="0.3">
      <c r="A156" s="17"/>
      <c r="H156" s="20"/>
      <c r="I156" s="20"/>
      <c r="J156" s="20"/>
      <c r="K156" s="20"/>
      <c r="L156" s="20"/>
      <c r="M156" s="21"/>
      <c r="N156" s="20"/>
      <c r="O156" s="21"/>
      <c r="P156" s="20"/>
      <c r="Q156" s="21"/>
      <c r="R156" s="20"/>
      <c r="S156" s="21"/>
      <c r="T156" s="21"/>
      <c r="U156" s="21"/>
      <c r="V156" s="14"/>
      <c r="W156" s="14"/>
      <c r="X156" s="14"/>
      <c r="Y156" s="14"/>
      <c r="AE156" s="14"/>
      <c r="AF156" s="18"/>
      <c r="AG156" s="18"/>
      <c r="AH156" s="18"/>
    </row>
    <row r="157" spans="1:34" ht="15.6" x14ac:dyDescent="0.3">
      <c r="A157" s="17"/>
      <c r="H157" s="20"/>
      <c r="I157" s="20"/>
      <c r="J157" s="20"/>
      <c r="K157" s="20"/>
      <c r="L157" s="20"/>
      <c r="M157" s="21"/>
      <c r="N157" s="20"/>
      <c r="O157" s="21"/>
      <c r="P157" s="20"/>
      <c r="Q157" s="21"/>
      <c r="R157" s="20"/>
      <c r="S157" s="21"/>
      <c r="U157" s="21"/>
      <c r="V157" s="14"/>
      <c r="W157" s="14"/>
      <c r="X157" s="16"/>
      <c r="Y157" s="14"/>
      <c r="AE157" s="14"/>
      <c r="AF157" s="18"/>
      <c r="AG157" s="18"/>
      <c r="AH157" s="18"/>
    </row>
    <row r="158" spans="1:34" ht="15.6" x14ac:dyDescent="0.3">
      <c r="A158" s="17"/>
      <c r="B158" s="21"/>
      <c r="C158" s="21"/>
      <c r="D158" s="21"/>
      <c r="E158" s="21"/>
      <c r="F158" s="21"/>
      <c r="G158" s="21"/>
      <c r="H158" s="20"/>
      <c r="I158" s="20"/>
      <c r="J158" s="20"/>
      <c r="K158" s="20"/>
      <c r="L158" s="20"/>
      <c r="M158" s="21"/>
      <c r="N158" s="20"/>
      <c r="O158" s="21"/>
      <c r="P158" s="20"/>
      <c r="Q158" s="21"/>
      <c r="R158" s="20"/>
      <c r="S158" s="21"/>
      <c r="U158" s="21"/>
      <c r="V158" s="14"/>
      <c r="W158" s="14"/>
      <c r="X158" s="14"/>
      <c r="Y158" s="14"/>
      <c r="AE158" s="14"/>
      <c r="AF158" s="18"/>
      <c r="AG158" s="18"/>
      <c r="AH158" s="18"/>
    </row>
    <row r="159" spans="1:34" ht="15.6" x14ac:dyDescent="0.3">
      <c r="A159" s="17"/>
      <c r="F159" s="21"/>
      <c r="H159" s="20"/>
      <c r="I159" s="20"/>
      <c r="J159" s="20"/>
      <c r="K159" s="20"/>
      <c r="L159" s="20"/>
      <c r="M159" s="21"/>
      <c r="N159" s="20"/>
      <c r="O159" s="21"/>
      <c r="P159" s="20"/>
      <c r="Q159" s="21"/>
      <c r="R159" s="20"/>
      <c r="S159" s="21"/>
      <c r="T159" s="21"/>
      <c r="U159" s="21"/>
      <c r="V159" s="14"/>
      <c r="W159" s="14"/>
      <c r="X159" s="14"/>
      <c r="Y159" s="14"/>
      <c r="AE159" s="14"/>
      <c r="AF159" s="18"/>
      <c r="AG159" s="18"/>
      <c r="AH159" s="18"/>
    </row>
    <row r="160" spans="1:34" ht="15.6" x14ac:dyDescent="0.3">
      <c r="A160" s="17"/>
      <c r="H160" s="20"/>
      <c r="I160" s="20"/>
      <c r="J160" s="20"/>
      <c r="K160" s="20"/>
      <c r="L160" s="20"/>
      <c r="M160" s="21"/>
      <c r="N160" s="20"/>
      <c r="O160" s="21"/>
      <c r="P160" s="20"/>
      <c r="Q160" s="21"/>
      <c r="R160" s="20"/>
      <c r="S160" s="21"/>
      <c r="U160" s="21"/>
      <c r="V160" s="14"/>
      <c r="W160" s="14"/>
      <c r="X160" s="14"/>
      <c r="Y160" s="14"/>
      <c r="AE160" s="14"/>
      <c r="AF160" s="18"/>
      <c r="AG160" s="18"/>
      <c r="AH160" s="18"/>
    </row>
    <row r="161" spans="1:34" ht="15.6" x14ac:dyDescent="0.3">
      <c r="A161" s="17"/>
      <c r="H161" s="20"/>
      <c r="I161" s="20"/>
      <c r="J161" s="20"/>
      <c r="K161" s="20"/>
      <c r="L161" s="20"/>
      <c r="M161" s="21"/>
      <c r="N161" s="20"/>
      <c r="O161" s="21"/>
      <c r="P161" s="20"/>
      <c r="Q161" s="21"/>
      <c r="R161" s="20"/>
      <c r="S161" s="21"/>
      <c r="T161" s="21"/>
      <c r="U161" s="21"/>
      <c r="V161" s="14"/>
      <c r="W161" s="14"/>
      <c r="X161" s="14"/>
      <c r="Y161" s="14"/>
      <c r="AE161" s="14"/>
      <c r="AF161" s="18"/>
      <c r="AG161" s="18"/>
      <c r="AH161" s="18"/>
    </row>
    <row r="162" spans="1:34" ht="15.6" x14ac:dyDescent="0.3">
      <c r="A162" s="17"/>
      <c r="F162" s="21"/>
      <c r="G162" s="21"/>
      <c r="H162" s="20"/>
      <c r="I162" s="20"/>
      <c r="J162" s="20"/>
      <c r="K162" s="20"/>
      <c r="L162" s="20"/>
      <c r="M162" s="21"/>
      <c r="N162" s="20"/>
      <c r="O162" s="21"/>
      <c r="P162" s="20"/>
      <c r="Q162" s="21"/>
      <c r="R162" s="20"/>
      <c r="S162" s="21"/>
      <c r="T162" s="21"/>
      <c r="U162" s="21"/>
      <c r="V162" s="14"/>
      <c r="W162" s="14"/>
      <c r="X162" s="14"/>
      <c r="Y162" s="14"/>
      <c r="AE162" s="14"/>
      <c r="AF162" s="18"/>
      <c r="AG162" s="18"/>
      <c r="AH162" s="18"/>
    </row>
    <row r="163" spans="1:34" ht="15.6" x14ac:dyDescent="0.3">
      <c r="A163" s="17"/>
      <c r="F163" s="21"/>
      <c r="G163" s="21"/>
      <c r="H163" s="20"/>
      <c r="I163" s="20"/>
      <c r="J163" s="20"/>
      <c r="K163" s="20"/>
      <c r="L163" s="20"/>
      <c r="M163" s="21"/>
      <c r="N163" s="20"/>
      <c r="O163" s="21"/>
      <c r="P163" s="20"/>
      <c r="Q163" s="21"/>
      <c r="R163" s="20"/>
      <c r="S163" s="21"/>
      <c r="U163" s="21"/>
      <c r="V163" s="14"/>
      <c r="W163" s="14"/>
      <c r="X163" s="14"/>
      <c r="Y163" s="14"/>
      <c r="AE163" s="14"/>
      <c r="AF163" s="18"/>
      <c r="AG163" s="18"/>
      <c r="AH163" s="18"/>
    </row>
    <row r="164" spans="1:34" ht="15.6" x14ac:dyDescent="0.3">
      <c r="A164" s="17"/>
      <c r="F164" s="21"/>
      <c r="G164" s="21"/>
      <c r="H164" s="20"/>
      <c r="I164" s="20"/>
      <c r="J164" s="20"/>
      <c r="K164" s="20"/>
      <c r="L164" s="20"/>
      <c r="M164" s="21"/>
      <c r="N164" s="20"/>
      <c r="O164" s="21"/>
      <c r="P164" s="20"/>
      <c r="Q164" s="21"/>
      <c r="R164" s="20"/>
      <c r="S164" s="21"/>
      <c r="U164" s="21"/>
      <c r="V164" s="14"/>
      <c r="W164" s="14"/>
      <c r="X164" s="14"/>
      <c r="Y164" s="14"/>
      <c r="AE164" s="14"/>
      <c r="AF164" s="18"/>
      <c r="AG164" s="18"/>
      <c r="AH164" s="18"/>
    </row>
    <row r="165" spans="1:34" ht="15.6" x14ac:dyDescent="0.3">
      <c r="A165" s="17"/>
      <c r="F165" s="21"/>
      <c r="G165" s="21"/>
      <c r="H165" s="20"/>
      <c r="I165" s="20"/>
      <c r="J165" s="20"/>
      <c r="K165" s="20"/>
      <c r="L165" s="20"/>
      <c r="M165" s="21"/>
      <c r="N165" s="20"/>
      <c r="O165" s="21"/>
      <c r="P165" s="20"/>
      <c r="Q165" s="21"/>
      <c r="R165" s="20"/>
      <c r="S165" s="21"/>
      <c r="U165" s="21"/>
      <c r="V165" s="14"/>
      <c r="W165" s="14"/>
      <c r="X165" s="14"/>
      <c r="Y165" s="14"/>
      <c r="AE165" s="14"/>
      <c r="AF165" s="18"/>
      <c r="AG165" s="18"/>
      <c r="AH165" s="18"/>
    </row>
    <row r="166" spans="1:34" x14ac:dyDescent="0.3">
      <c r="A166" s="17"/>
      <c r="V166" s="14"/>
      <c r="W166" s="14"/>
      <c r="X166" s="14"/>
      <c r="Y166" s="14"/>
    </row>
    <row r="167" spans="1:34" x14ac:dyDescent="0.3">
      <c r="A167" s="17"/>
      <c r="V167" s="14"/>
      <c r="W167" s="14"/>
      <c r="X167" s="14"/>
      <c r="Y167" s="14"/>
    </row>
  </sheetData>
  <mergeCells count="17">
    <mergeCell ref="M1:M2"/>
    <mergeCell ref="O1:O2"/>
    <mergeCell ref="Q1:Q2"/>
    <mergeCell ref="V1:Y1"/>
    <mergeCell ref="Z1:AD1"/>
    <mergeCell ref="S1:S2"/>
    <mergeCell ref="U1:U2"/>
    <mergeCell ref="AQ1:AQ2"/>
    <mergeCell ref="AO1:AO2"/>
    <mergeCell ref="AP1:AP2"/>
    <mergeCell ref="AN1:AN2"/>
    <mergeCell ref="AE1:AH1"/>
    <mergeCell ref="AI1:AI2"/>
    <mergeCell ref="AJ1:AJ2"/>
    <mergeCell ref="AK1:AK2"/>
    <mergeCell ref="AL1:AL2"/>
    <mergeCell ref="AM1:AM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Dip Chart 23500</vt:lpstr>
      <vt:lpstr>Dip Chart 50000</vt:lpstr>
      <vt:lpstr>dip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2026-07-16T18:18:20Z</dcterms:modified>
</cp:coreProperties>
</file>